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lleato-my.sharepoint.com/personal/bclymer_alleatogroup_com/Documents/Alleato Group/Estimating/24-11.20 - Core Mark Atlanta (White, GA)/04 - Estimate/"/>
    </mc:Choice>
  </mc:AlternateContent>
  <xr:revisionPtr revIDLastSave="17" documentId="8_{4B28B95D-3B67-4146-AF66-FB73DDBCCF34}" xr6:coauthVersionLast="47" xr6:coauthVersionMax="47" xr10:uidLastSave="{ADFCB6CF-5586-4D49-9DC6-4602CF825ABC}"/>
  <bookViews>
    <workbookView xWindow="-28920" yWindow="-120" windowWidth="29040" windowHeight="15720" xr2:uid="{7D1D3D2B-BBA8-4C61-AA3D-6A912679DF55}"/>
  </bookViews>
  <sheets>
    <sheet name="2&quot; Rack Pipe Quick Estim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3" i="1"/>
  <c r="H3" i="1" s="1"/>
  <c r="B22" i="1" s="1"/>
  <c r="K28" i="1"/>
  <c r="L28" i="1" s="1"/>
  <c r="G16" i="1"/>
  <c r="H16" i="1" s="1"/>
  <c r="D26" i="1" s="1"/>
  <c r="K25" i="1"/>
  <c r="L25" i="1" s="1"/>
  <c r="K26" i="1"/>
  <c r="L26" i="1" s="1"/>
  <c r="K27" i="1"/>
  <c r="L27" i="1" s="1"/>
  <c r="K24" i="1"/>
  <c r="L24" i="1" s="1"/>
  <c r="K23" i="1"/>
  <c r="L23" i="1" s="1"/>
  <c r="K22" i="1"/>
  <c r="L22" i="1" s="1"/>
  <c r="H17" i="1"/>
  <c r="D27" i="1" s="1"/>
  <c r="O5" i="1"/>
  <c r="P5" i="1" s="1"/>
  <c r="O4" i="1"/>
  <c r="P4" i="1" s="1"/>
  <c r="O3" i="1"/>
  <c r="P3" i="1" s="1"/>
  <c r="L16" i="1"/>
  <c r="L15" i="1"/>
  <c r="L14" i="1"/>
  <c r="L11" i="1"/>
  <c r="L10" i="1"/>
  <c r="L7" i="1"/>
  <c r="L8" i="1"/>
  <c r="L9" i="1"/>
  <c r="L6" i="1"/>
  <c r="G15" i="1"/>
  <c r="H15" i="1" s="1"/>
  <c r="D25" i="1" s="1"/>
  <c r="G6" i="1"/>
  <c r="H6" i="1" s="1"/>
  <c r="K3" i="1"/>
  <c r="L3" i="1" s="1"/>
  <c r="C17" i="1"/>
  <c r="D17" i="1" s="1"/>
  <c r="C15" i="1"/>
  <c r="D15" i="1" s="1"/>
  <c r="D20" i="1"/>
  <c r="B25" i="1" s="1"/>
  <c r="C11" i="1" l="1"/>
  <c r="D11" i="1" s="1"/>
  <c r="O6" i="1"/>
  <c r="B29" i="1"/>
  <c r="K19" i="1"/>
  <c r="L19" i="1" s="1"/>
  <c r="K20" i="1"/>
  <c r="L20" i="1" s="1"/>
  <c r="K21" i="1"/>
  <c r="L21" i="1" s="1"/>
  <c r="B28" i="1"/>
  <c r="C16" i="1"/>
  <c r="D16" i="1" s="1"/>
  <c r="C14" i="1"/>
  <c r="D14" i="1" s="1"/>
  <c r="C8" i="1"/>
  <c r="D8" i="1" s="1"/>
  <c r="B23" i="1" s="1"/>
  <c r="B30" i="1" l="1"/>
  <c r="P6" i="1"/>
  <c r="O7" i="1"/>
  <c r="P7" i="1" s="1"/>
  <c r="B26" i="1"/>
  <c r="G10" i="1"/>
  <c r="H10" i="1" s="1"/>
  <c r="G9" i="1"/>
  <c r="H9" i="1" s="1"/>
  <c r="B31" i="1" l="1"/>
  <c r="B24" i="1"/>
  <c r="B27" i="1" l="1"/>
  <c r="D21" i="1" s="1"/>
  <c r="D28" i="1" l="1"/>
  <c r="D29" i="1" s="1"/>
  <c r="D23" i="1"/>
</calcChain>
</file>

<file path=xl/sharedStrings.xml><?xml version="1.0" encoding="utf-8"?>
<sst xmlns="http://schemas.openxmlformats.org/spreadsheetml/2006/main" count="113" uniqueCount="74">
  <si>
    <t>Rack Length</t>
  </si>
  <si>
    <t>Rack Pipe Size</t>
  </si>
  <si>
    <t>Price Per Foot</t>
  </si>
  <si>
    <t>Rack Cpl</t>
  </si>
  <si>
    <t>Rack 90</t>
  </si>
  <si>
    <t>Rack Cap</t>
  </si>
  <si>
    <t>Dope + Brush</t>
  </si>
  <si>
    <t>Hanger Ring</t>
  </si>
  <si>
    <t>Hanger Misc.</t>
  </si>
  <si>
    <t>3/8 ATR</t>
  </si>
  <si>
    <t>Misc.</t>
  </si>
  <si>
    <t>Teflon</t>
  </si>
  <si>
    <t>Rags</t>
  </si>
  <si>
    <t>Rack Rows</t>
  </si>
  <si>
    <t>3/8 Beam Clamp</t>
  </si>
  <si>
    <t>3/8 Sammy</t>
  </si>
  <si>
    <t>Price</t>
  </si>
  <si>
    <t>Total Length</t>
  </si>
  <si>
    <t>Pipe</t>
  </si>
  <si>
    <t>Fittings</t>
  </si>
  <si>
    <t>Hangers</t>
  </si>
  <si>
    <t>Qty.</t>
  </si>
  <si>
    <t>Total Price</t>
  </si>
  <si>
    <t>3/8 Nut + Washer</t>
  </si>
  <si>
    <t>Sprinkler Heads</t>
  </si>
  <si>
    <t>Fab Cost</t>
  </si>
  <si>
    <t>Weld -O - Let</t>
  </si>
  <si>
    <t>Total Pprice</t>
  </si>
  <si>
    <t>Total Pricing</t>
  </si>
  <si>
    <t>Sprinklers</t>
  </si>
  <si>
    <t>Total</t>
  </si>
  <si>
    <t>GM</t>
  </si>
  <si>
    <t>Grand Total</t>
  </si>
  <si>
    <t>Labor</t>
  </si>
  <si>
    <t>PM</t>
  </si>
  <si>
    <t>Design</t>
  </si>
  <si>
    <t>Install</t>
  </si>
  <si>
    <t>Rate</t>
  </si>
  <si>
    <t>Hours</t>
  </si>
  <si>
    <t>Total Cost</t>
  </si>
  <si>
    <t>Bulk Pipe</t>
  </si>
  <si>
    <t>Riser</t>
  </si>
  <si>
    <t>Riser Assembly</t>
  </si>
  <si>
    <t>Control Valve</t>
  </si>
  <si>
    <t>Check Valve</t>
  </si>
  <si>
    <t>Flow Switch</t>
  </si>
  <si>
    <t>Drain</t>
  </si>
  <si>
    <t>Qty</t>
  </si>
  <si>
    <t>4" Pipe Per Ft</t>
  </si>
  <si>
    <t>4" Grv Fittings</t>
  </si>
  <si>
    <t>3"</t>
  </si>
  <si>
    <t>4"</t>
  </si>
  <si>
    <t>2"</t>
  </si>
  <si>
    <t>Bulk Fittings</t>
  </si>
  <si>
    <t>2" Couplings</t>
  </si>
  <si>
    <t>3" Couplings</t>
  </si>
  <si>
    <t>4" Couplings</t>
  </si>
  <si>
    <t>2" 90</t>
  </si>
  <si>
    <t>3" 90</t>
  </si>
  <si>
    <t>4" 90</t>
  </si>
  <si>
    <t>2" Tee</t>
  </si>
  <si>
    <t>3" Tee</t>
  </si>
  <si>
    <t>4" Tee</t>
  </si>
  <si>
    <t>Misc. (Caps Plugs Etc)</t>
  </si>
  <si>
    <t>Bulk Hangers</t>
  </si>
  <si>
    <t>2" Rings</t>
  </si>
  <si>
    <t>3" Rings</t>
  </si>
  <si>
    <t>4" Rings</t>
  </si>
  <si>
    <t>3/8 TBC</t>
  </si>
  <si>
    <t>3/8 Rod</t>
  </si>
  <si>
    <t>Cost Breakout</t>
  </si>
  <si>
    <t>Material</t>
  </si>
  <si>
    <t>2" ASRS QUICK ESTIMATE  - YELLOW FIELDS ARE FOR MANUAL DATA INPUT  - ORANGE FIELDS FOR SPRINKLER TYPE AND COST - RECOMMEND GETTING PRICING DURING ESTIMATING PHASE</t>
  </si>
  <si>
    <t>11.2k Reliable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</si>
</sst>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.0"/>
    <numFmt numFmtId="166" formatCode="&quot;$&quot;#,##0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u/>
      <sz val="14"/>
      <name val="Aptos Narrow"/>
      <family val="2"/>
      <scheme val="minor"/>
    </font>
    <font>
      <sz val="8"/>
      <color rgb="FF00000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4" borderId="1" xfId="0" applyFill="1" applyBorder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0" fillId="5" borderId="1" xfId="0" applyFill="1" applyBorder="1"/>
    <xf numFmtId="0" fontId="0" fillId="6" borderId="0" xfId="0" applyFill="1"/>
    <xf numFmtId="44" fontId="0" fillId="3" borderId="1" xfId="0" applyNumberFormat="1" applyFill="1" applyBorder="1"/>
    <xf numFmtId="164" fontId="0" fillId="3" borderId="1" xfId="0" applyNumberFormat="1" applyFill="1" applyBorder="1"/>
    <xf numFmtId="0" fontId="0" fillId="7" borderId="1" xfId="0" applyFill="1" applyBorder="1"/>
    <xf numFmtId="164" fontId="0" fillId="0" borderId="1" xfId="0" applyNumberFormat="1" applyBorder="1"/>
    <xf numFmtId="0" fontId="0" fillId="8" borderId="1" xfId="0" applyFill="1" applyBorder="1"/>
    <xf numFmtId="1" fontId="0" fillId="8" borderId="1" xfId="0" applyNumberFormat="1" applyFill="1" applyBorder="1"/>
    <xf numFmtId="1" fontId="0" fillId="2" borderId="1" xfId="0" applyNumberFormat="1" applyFill="1" applyBorder="1"/>
    <xf numFmtId="165" fontId="0" fillId="0" borderId="1" xfId="0" applyNumberFormat="1" applyBorder="1"/>
    <xf numFmtId="164" fontId="0" fillId="9" borderId="1" xfId="0" applyNumberFormat="1" applyFill="1" applyBorder="1"/>
    <xf numFmtId="0" fontId="0" fillId="10" borderId="1" xfId="0" applyFill="1" applyBorder="1"/>
    <xf numFmtId="164" fontId="0" fillId="11" borderId="1" xfId="0" applyNumberFormat="1" applyFill="1" applyBorder="1"/>
    <xf numFmtId="0" fontId="1" fillId="10" borderId="1" xfId="0" applyFont="1" applyFill="1" applyBorder="1"/>
    <xf numFmtId="166" fontId="0" fillId="9" borderId="1" xfId="0" applyNumberFormat="1" applyFill="1" applyBorder="1"/>
    <xf numFmtId="44" fontId="0" fillId="0" borderId="1" xfId="0" applyNumberFormat="1" applyBorder="1"/>
    <xf numFmtId="0" fontId="0" fillId="8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8" borderId="1" xfId="0" applyNumberForma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39" fontId="0" fillId="8" borderId="1" xfId="0" quotePrefix="1" applyNumberFormat="1" applyFill="1" applyBorder="1"/>
    <xf numFmtId="7" fontId="0" fillId="3" borderId="1" xfId="0" applyNumberFormat="1" applyFill="1" applyBorder="1"/>
    <xf numFmtId="10" fontId="0" fillId="2" borderId="1" xfId="0" applyNumberFormat="1" applyFill="1" applyBorder="1"/>
    <xf numFmtId="164" fontId="0" fillId="12" borderId="1" xfId="0" applyNumberFormat="1" applyFill="1" applyBorder="1"/>
    <xf numFmtId="0" fontId="0" fillId="12" borderId="1" xfId="0" applyFill="1" applyBorder="1"/>
    <xf numFmtId="0" fontId="0" fillId="13" borderId="1" xfId="0" applyFill="1" applyBorder="1"/>
    <xf numFmtId="164" fontId="0" fillId="13" borderId="1" xfId="0" applyNumberFormat="1" applyFill="1" applyBorder="1"/>
    <xf numFmtId="7" fontId="0" fillId="13" borderId="1" xfId="0" applyNumberFormat="1" applyFill="1" applyBorder="1"/>
    <xf numFmtId="0" fontId="0" fillId="6" borderId="1" xfId="0" applyFill="1" applyBorder="1"/>
    <xf numFmtId="0" fontId="0" fillId="2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" xfId="0" applyFon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B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601980</xdr:colOff>
          <xdr:row>25</xdr:row>
          <xdr:rowOff>182880</xdr:rowOff>
        </xdr:from>
        <xdr:to>
          <xdr:col>17</xdr:col>
          <xdr:colOff>173355</xdr:colOff>
          <xdr:row>27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DCE8-A49D-4B9A-9C37-FEACD1320FA4}">
  <sheetPr codeName="Sheet1"/>
  <dimension ref="A1:P31"/>
  <sheetViews>
    <sheetView tabSelected="1" zoomScaleNormal="100" workbookViewId="0">
      <selection activeCell="F22" sqref="F22"/>
    </sheetView>
  </sheetViews>
  <sheetFormatPr defaultRowHeight="14.4" x14ac:dyDescent="0.3"/>
  <cols>
    <col min="1" max="1" width="16.6640625" customWidth="1"/>
    <col min="2" max="2" width="16" customWidth="1"/>
    <col min="3" max="3" width="16.5546875" customWidth="1"/>
    <col min="4" max="4" width="15.88671875" customWidth="1"/>
    <col min="5" max="5" width="18" customWidth="1"/>
    <col min="6" max="6" width="16" customWidth="1"/>
    <col min="7" max="7" width="16.5546875" customWidth="1"/>
    <col min="8" max="8" width="20.5546875" customWidth="1"/>
    <col min="9" max="9" width="20.109375" customWidth="1"/>
    <col min="10" max="10" width="13.44140625" customWidth="1"/>
    <col min="11" max="11" width="18.44140625" customWidth="1"/>
    <col min="12" max="12" width="14.88671875" customWidth="1"/>
    <col min="13" max="13" width="15" customWidth="1"/>
  </cols>
  <sheetData>
    <row r="1" spans="1:16" ht="33" customHeight="1" x14ac:dyDescent="0.3">
      <c r="A1" s="33" t="s">
        <v>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x14ac:dyDescent="0.3">
      <c r="A2" s="1"/>
      <c r="B2" s="1"/>
      <c r="C2" s="1" t="s">
        <v>0</v>
      </c>
      <c r="D2" s="9"/>
      <c r="E2" s="1" t="s">
        <v>1</v>
      </c>
      <c r="F2" s="1" t="s">
        <v>2</v>
      </c>
      <c r="G2" s="1" t="s">
        <v>17</v>
      </c>
      <c r="H2" s="1" t="s">
        <v>22</v>
      </c>
      <c r="I2" s="5" t="s">
        <v>4</v>
      </c>
      <c r="J2" s="5" t="s">
        <v>16</v>
      </c>
      <c r="K2" s="5" t="s">
        <v>21</v>
      </c>
      <c r="L2" s="5" t="s">
        <v>27</v>
      </c>
      <c r="M2" s="5" t="s">
        <v>53</v>
      </c>
      <c r="N2" s="5" t="s">
        <v>16</v>
      </c>
      <c r="O2" s="5" t="s">
        <v>47</v>
      </c>
      <c r="P2" s="5" t="s">
        <v>30</v>
      </c>
    </row>
    <row r="3" spans="1:16" x14ac:dyDescent="0.3">
      <c r="A3" s="16">
        <v>1</v>
      </c>
      <c r="B3" s="32" t="b">
        <v>0</v>
      </c>
      <c r="C3" s="4">
        <v>140</v>
      </c>
      <c r="D3" s="16"/>
      <c r="E3" s="18">
        <v>2</v>
      </c>
      <c r="F3" s="7">
        <v>7.3</v>
      </c>
      <c r="G3" s="23">
        <f>IF(B4, C3 * C5 * 2, C3 * C5) * 2 * 0.75</f>
        <v>3360</v>
      </c>
      <c r="H3" s="20">
        <f>G3*F3</f>
        <v>24528</v>
      </c>
      <c r="I3" s="16">
        <v>2</v>
      </c>
      <c r="J3" s="8">
        <v>3.58</v>
      </c>
      <c r="K3" s="21">
        <f>C5*2</f>
        <v>16</v>
      </c>
      <c r="L3" s="17">
        <f>K3*I3</f>
        <v>32</v>
      </c>
      <c r="M3" s="16" t="s">
        <v>65</v>
      </c>
      <c r="N3" s="8">
        <v>0.5</v>
      </c>
      <c r="O3" s="11">
        <f>(K14/21) * 2</f>
        <v>45.714285714285715</v>
      </c>
      <c r="P3" s="10">
        <f>O3*N3</f>
        <v>22.857142857142858</v>
      </c>
    </row>
    <row r="4" spans="1:16" x14ac:dyDescent="0.3">
      <c r="A4" s="16">
        <v>2</v>
      </c>
      <c r="B4" s="32" t="b">
        <v>1</v>
      </c>
      <c r="C4" s="5" t="s">
        <v>13</v>
      </c>
      <c r="D4" s="31"/>
      <c r="E4" s="6"/>
      <c r="F4" s="6"/>
      <c r="G4" s="6"/>
      <c r="H4" s="6"/>
      <c r="I4" s="6"/>
      <c r="J4" s="6"/>
      <c r="K4" s="6"/>
      <c r="L4" s="6"/>
      <c r="M4" s="16" t="s">
        <v>66</v>
      </c>
      <c r="N4" s="8">
        <v>0.88</v>
      </c>
      <c r="O4" s="12">
        <f>(K15/21) *2</f>
        <v>33.333333333333336</v>
      </c>
      <c r="P4" s="10">
        <f t="shared" ref="P4:P7" si="0">O4*N4</f>
        <v>29.333333333333336</v>
      </c>
    </row>
    <row r="5" spans="1:16" x14ac:dyDescent="0.3">
      <c r="A5" s="16">
        <v>3</v>
      </c>
      <c r="B5" s="32" t="b">
        <v>0</v>
      </c>
      <c r="C5" s="4">
        <v>8</v>
      </c>
      <c r="D5" s="16"/>
      <c r="E5" s="5" t="s">
        <v>5</v>
      </c>
      <c r="F5" s="5" t="s">
        <v>16</v>
      </c>
      <c r="G5" s="5" t="s">
        <v>21</v>
      </c>
      <c r="H5" s="5" t="s">
        <v>22</v>
      </c>
      <c r="I5" s="5" t="s">
        <v>42</v>
      </c>
      <c r="J5" s="5" t="s">
        <v>16</v>
      </c>
      <c r="K5" s="5" t="s">
        <v>47</v>
      </c>
      <c r="L5" s="5" t="s">
        <v>30</v>
      </c>
      <c r="M5" s="16" t="s">
        <v>67</v>
      </c>
      <c r="N5" s="8">
        <v>1.18</v>
      </c>
      <c r="O5" s="12">
        <f>(K16/21) *2</f>
        <v>23.80952380952381</v>
      </c>
      <c r="P5" s="10">
        <f t="shared" si="0"/>
        <v>28.095238095238095</v>
      </c>
    </row>
    <row r="6" spans="1:16" x14ac:dyDescent="0.3">
      <c r="A6" s="6"/>
      <c r="B6" s="6"/>
      <c r="C6" s="6"/>
      <c r="D6" s="6"/>
      <c r="E6" s="16">
        <v>2</v>
      </c>
      <c r="F6" s="8">
        <v>2.27</v>
      </c>
      <c r="G6" s="22">
        <f>IF(B4, 2 * C5 * 2, C5)</f>
        <v>32</v>
      </c>
      <c r="H6" s="15">
        <f>G6*F6</f>
        <v>72.64</v>
      </c>
      <c r="I6" s="16" t="s">
        <v>43</v>
      </c>
      <c r="J6" s="8">
        <v>266</v>
      </c>
      <c r="K6" s="11">
        <v>1</v>
      </c>
      <c r="L6" s="10">
        <f>K6*J6</f>
        <v>266</v>
      </c>
      <c r="M6" s="16" t="s">
        <v>68</v>
      </c>
      <c r="N6" s="8">
        <v>1.32</v>
      </c>
      <c r="O6" s="12">
        <f>O5+O4+O3</f>
        <v>102.85714285714286</v>
      </c>
      <c r="P6" s="10">
        <f t="shared" si="0"/>
        <v>135.77142857142857</v>
      </c>
    </row>
    <row r="7" spans="1:16" x14ac:dyDescent="0.3">
      <c r="A7" s="5" t="s">
        <v>3</v>
      </c>
      <c r="B7" s="5" t="s">
        <v>16</v>
      </c>
      <c r="C7" s="5" t="s">
        <v>21</v>
      </c>
      <c r="D7" s="5" t="s">
        <v>22</v>
      </c>
      <c r="E7" s="6"/>
      <c r="F7" s="6"/>
      <c r="G7" s="6"/>
      <c r="H7" s="6"/>
      <c r="I7" s="16" t="s">
        <v>44</v>
      </c>
      <c r="J7" s="8">
        <v>226</v>
      </c>
      <c r="K7" s="11">
        <v>1</v>
      </c>
      <c r="L7" s="10">
        <f t="shared" ref="L7:L9" si="1">K7*J7</f>
        <v>226</v>
      </c>
      <c r="M7" s="16" t="s">
        <v>69</v>
      </c>
      <c r="N7" s="8">
        <v>0.52</v>
      </c>
      <c r="O7" s="12">
        <f>(O6*10)</f>
        <v>1028.5714285714287</v>
      </c>
      <c r="P7" s="10">
        <f t="shared" si="0"/>
        <v>534.85714285714289</v>
      </c>
    </row>
    <row r="8" spans="1:16" x14ac:dyDescent="0.3">
      <c r="A8" s="16">
        <v>2</v>
      </c>
      <c r="B8" s="8">
        <v>4.25</v>
      </c>
      <c r="C8" s="22">
        <f>G3/21 * 2.1</f>
        <v>336</v>
      </c>
      <c r="D8" s="15">
        <f>C8*B8</f>
        <v>1428</v>
      </c>
      <c r="E8" s="5" t="s">
        <v>8</v>
      </c>
      <c r="F8" s="5" t="s">
        <v>16</v>
      </c>
      <c r="G8" s="5" t="s">
        <v>21</v>
      </c>
      <c r="H8" s="5" t="s">
        <v>22</v>
      </c>
      <c r="I8" s="16" t="s">
        <v>45</v>
      </c>
      <c r="J8" s="8">
        <v>130</v>
      </c>
      <c r="K8" s="11">
        <v>1</v>
      </c>
      <c r="L8" s="10">
        <f t="shared" si="1"/>
        <v>130</v>
      </c>
    </row>
    <row r="9" spans="1:16" x14ac:dyDescent="0.3">
      <c r="A9" s="6"/>
      <c r="B9" s="6"/>
      <c r="C9" s="6"/>
      <c r="D9" s="6"/>
      <c r="E9" s="16" t="s">
        <v>23</v>
      </c>
      <c r="F9" s="8">
        <v>0.36</v>
      </c>
      <c r="G9" s="22">
        <f>C11*4</f>
        <v>2080</v>
      </c>
      <c r="H9" s="10">
        <f>G9*F9</f>
        <v>748.8</v>
      </c>
      <c r="I9" s="16" t="s">
        <v>46</v>
      </c>
      <c r="J9" s="8">
        <v>500</v>
      </c>
      <c r="K9" s="11">
        <v>1</v>
      </c>
      <c r="L9" s="10">
        <f t="shared" si="1"/>
        <v>500</v>
      </c>
    </row>
    <row r="10" spans="1:16" x14ac:dyDescent="0.3">
      <c r="A10" s="5" t="s">
        <v>7</v>
      </c>
      <c r="B10" s="5" t="s">
        <v>16</v>
      </c>
      <c r="C10" s="5" t="s">
        <v>21</v>
      </c>
      <c r="D10" s="5" t="s">
        <v>22</v>
      </c>
      <c r="E10" s="16" t="s">
        <v>9</v>
      </c>
      <c r="F10" s="8">
        <v>0.52</v>
      </c>
      <c r="G10" s="22">
        <f>C11*1.15</f>
        <v>598</v>
      </c>
      <c r="H10" s="10">
        <f>G10*F10</f>
        <v>310.96000000000004</v>
      </c>
      <c r="I10" s="16" t="s">
        <v>48</v>
      </c>
      <c r="J10" s="8">
        <v>4.3099999999999996</v>
      </c>
      <c r="K10" s="11">
        <v>42</v>
      </c>
      <c r="L10" s="10">
        <f t="shared" ref="L10" si="2">K10*J10</f>
        <v>181.01999999999998</v>
      </c>
    </row>
    <row r="11" spans="1:16" x14ac:dyDescent="0.3">
      <c r="A11" s="16">
        <v>2</v>
      </c>
      <c r="B11" s="8">
        <v>0.5</v>
      </c>
      <c r="C11" s="22">
        <f>G3/21 * 3.25</f>
        <v>520</v>
      </c>
      <c r="D11" s="19">
        <f>C11*B11</f>
        <v>260</v>
      </c>
      <c r="E11" s="16" t="s">
        <v>14</v>
      </c>
      <c r="F11" s="8"/>
      <c r="G11" s="12"/>
      <c r="H11" s="3"/>
      <c r="I11" s="16" t="s">
        <v>49</v>
      </c>
      <c r="J11" s="8">
        <v>200</v>
      </c>
      <c r="K11" s="11">
        <v>1</v>
      </c>
      <c r="L11" s="10">
        <f t="shared" ref="L11" si="3">K11*J11</f>
        <v>200</v>
      </c>
    </row>
    <row r="12" spans="1:16" x14ac:dyDescent="0.3">
      <c r="A12" s="6"/>
      <c r="B12" s="6"/>
      <c r="C12" s="6"/>
      <c r="D12" s="6"/>
      <c r="E12" s="16" t="s">
        <v>15</v>
      </c>
      <c r="F12" s="2"/>
      <c r="G12" s="11"/>
      <c r="H12" s="3"/>
      <c r="I12" s="6"/>
      <c r="J12" s="6"/>
      <c r="K12" s="6"/>
      <c r="L12" s="6"/>
    </row>
    <row r="13" spans="1:16" x14ac:dyDescent="0.3">
      <c r="A13" s="5" t="s">
        <v>10</v>
      </c>
      <c r="B13" s="5" t="s">
        <v>16</v>
      </c>
      <c r="C13" s="5" t="s">
        <v>21</v>
      </c>
      <c r="D13" s="5" t="s">
        <v>22</v>
      </c>
      <c r="E13" s="6"/>
      <c r="F13" s="6"/>
      <c r="G13" s="6"/>
      <c r="H13" s="6"/>
      <c r="I13" s="5" t="s">
        <v>40</v>
      </c>
      <c r="J13" s="5" t="s">
        <v>16</v>
      </c>
      <c r="K13" s="5" t="s">
        <v>47</v>
      </c>
      <c r="L13" s="5" t="s">
        <v>30</v>
      </c>
    </row>
    <row r="14" spans="1:16" x14ac:dyDescent="0.3">
      <c r="A14" s="16" t="s">
        <v>6</v>
      </c>
      <c r="B14" s="8">
        <v>15</v>
      </c>
      <c r="C14" s="22">
        <f>G3/21 * 0.05</f>
        <v>8</v>
      </c>
      <c r="D14" s="10">
        <f>C14*B14</f>
        <v>120</v>
      </c>
      <c r="E14" s="5" t="s">
        <v>33</v>
      </c>
      <c r="F14" s="3" t="s">
        <v>37</v>
      </c>
      <c r="G14" s="3" t="s">
        <v>38</v>
      </c>
      <c r="H14" s="3" t="s">
        <v>39</v>
      </c>
      <c r="I14" s="16" t="s">
        <v>52</v>
      </c>
      <c r="J14" s="2">
        <v>2.5</v>
      </c>
      <c r="K14" s="4">
        <v>480</v>
      </c>
      <c r="L14" s="15">
        <f>K14*J14</f>
        <v>1200</v>
      </c>
    </row>
    <row r="15" spans="1:16" x14ac:dyDescent="0.3">
      <c r="A15" s="16" t="s">
        <v>11</v>
      </c>
      <c r="B15" s="8">
        <v>1</v>
      </c>
      <c r="C15" s="21">
        <f>C20*0.05</f>
        <v>55.800000000000004</v>
      </c>
      <c r="D15" s="10">
        <f>B15*C15</f>
        <v>55.800000000000004</v>
      </c>
      <c r="E15" s="16" t="s">
        <v>34</v>
      </c>
      <c r="F15" s="2">
        <v>125</v>
      </c>
      <c r="G15" s="11">
        <f>C20*0.1</f>
        <v>111.60000000000001</v>
      </c>
      <c r="H15" s="10">
        <f>G15*F15</f>
        <v>13950.000000000002</v>
      </c>
      <c r="I15" s="16" t="s">
        <v>50</v>
      </c>
      <c r="J15" s="8">
        <v>3.25</v>
      </c>
      <c r="K15" s="4">
        <v>350</v>
      </c>
      <c r="L15" s="10">
        <f>K15*J15</f>
        <v>1137.5</v>
      </c>
    </row>
    <row r="16" spans="1:16" x14ac:dyDescent="0.3">
      <c r="A16" s="16" t="s">
        <v>12</v>
      </c>
      <c r="B16" s="8">
        <v>35</v>
      </c>
      <c r="C16" s="22">
        <f>G3/21*0.02</f>
        <v>3.2</v>
      </c>
      <c r="D16" s="14">
        <f>B16*C16</f>
        <v>112</v>
      </c>
      <c r="E16" s="16" t="s">
        <v>35</v>
      </c>
      <c r="F16" s="2">
        <v>95</v>
      </c>
      <c r="G16" s="11">
        <f>C20*0.08</f>
        <v>89.28</v>
      </c>
      <c r="H16" s="10">
        <f>G16*F16</f>
        <v>8481.6</v>
      </c>
      <c r="I16" s="16" t="s">
        <v>51</v>
      </c>
      <c r="J16" s="8">
        <v>4.32</v>
      </c>
      <c r="K16" s="4">
        <v>250</v>
      </c>
      <c r="L16" s="10">
        <f>K16*J16</f>
        <v>1080</v>
      </c>
    </row>
    <row r="17" spans="1:12" x14ac:dyDescent="0.3">
      <c r="A17" s="16" t="s">
        <v>26</v>
      </c>
      <c r="B17" s="8">
        <v>1.32</v>
      </c>
      <c r="C17" s="22">
        <f>C20</f>
        <v>1116</v>
      </c>
      <c r="D17" s="14">
        <f>C17*B17</f>
        <v>1473.1200000000001</v>
      </c>
      <c r="E17" s="16" t="s">
        <v>36</v>
      </c>
      <c r="F17" s="2">
        <v>100</v>
      </c>
      <c r="G17" s="11">
        <f>C20*0.7</f>
        <v>781.19999999999993</v>
      </c>
      <c r="H17" s="10">
        <f>G17*F17</f>
        <v>78120</v>
      </c>
      <c r="I17" s="6"/>
      <c r="J17" s="6"/>
      <c r="K17" s="6"/>
      <c r="L17" s="6"/>
    </row>
    <row r="18" spans="1:12" x14ac:dyDescent="0.3">
      <c r="A18" s="6"/>
      <c r="B18" s="6"/>
      <c r="C18" s="6"/>
      <c r="D18" s="6"/>
      <c r="I18" s="5" t="s">
        <v>53</v>
      </c>
      <c r="J18" s="5" t="s">
        <v>16</v>
      </c>
      <c r="K18" s="5" t="s">
        <v>47</v>
      </c>
      <c r="L18" s="5" t="s">
        <v>30</v>
      </c>
    </row>
    <row r="19" spans="1:12" x14ac:dyDescent="0.3">
      <c r="A19" s="5" t="s">
        <v>24</v>
      </c>
      <c r="B19" s="5" t="s">
        <v>16</v>
      </c>
      <c r="C19" s="5" t="s">
        <v>21</v>
      </c>
      <c r="D19" s="5" t="s">
        <v>22</v>
      </c>
      <c r="I19" s="16" t="s">
        <v>54</v>
      </c>
      <c r="J19" s="8">
        <v>4.25</v>
      </c>
      <c r="K19" s="11">
        <f>(K14 / 21) *2 + K22 *5</f>
        <v>205.71428571428572</v>
      </c>
      <c r="L19" s="10">
        <f t="shared" ref="L19:L28" si="4">K19*J19</f>
        <v>874.28571428571433</v>
      </c>
    </row>
    <row r="20" spans="1:12" x14ac:dyDescent="0.3">
      <c r="A20" s="27" t="s">
        <v>73</v>
      </c>
      <c r="B20" s="26">
        <v>14</v>
      </c>
      <c r="C20" s="13">
        <v>1116</v>
      </c>
      <c r="D20" s="10">
        <f>B20*C20</f>
        <v>15624</v>
      </c>
      <c r="I20" s="16" t="s">
        <v>55</v>
      </c>
      <c r="J20" s="8">
        <v>5.53</v>
      </c>
      <c r="K20" s="12">
        <f>(K15 / 21) *2.5 + K23*5</f>
        <v>201.66666666666669</v>
      </c>
      <c r="L20" s="10">
        <f t="shared" si="4"/>
        <v>1115.2166666666669</v>
      </c>
    </row>
    <row r="21" spans="1:12" x14ac:dyDescent="0.3">
      <c r="A21" s="5" t="s">
        <v>28</v>
      </c>
      <c r="B21" s="5" t="s">
        <v>71</v>
      </c>
      <c r="C21" s="5" t="s">
        <v>39</v>
      </c>
      <c r="D21" s="24">
        <f>B22+B23+B24+B25+B26+B27+H15+H16+H17+B28+B29+B30+B31</f>
        <v>160328.85247619046</v>
      </c>
      <c r="I21" s="16" t="s">
        <v>56</v>
      </c>
      <c r="J21" s="8">
        <v>8.3000000000000007</v>
      </c>
      <c r="K21" s="12">
        <f>(K16 / 21) * 2.5 +K24*5</f>
        <v>69.761904761904759</v>
      </c>
      <c r="L21" s="10">
        <f t="shared" si="4"/>
        <v>579.02380952380952</v>
      </c>
    </row>
    <row r="22" spans="1:12" x14ac:dyDescent="0.3">
      <c r="A22" s="16" t="s">
        <v>18</v>
      </c>
      <c r="B22" s="24">
        <f>H3</f>
        <v>24528</v>
      </c>
      <c r="C22" s="16" t="s">
        <v>31</v>
      </c>
      <c r="D22" s="25">
        <v>0</v>
      </c>
      <c r="I22" s="16" t="s">
        <v>57</v>
      </c>
      <c r="J22" s="8">
        <v>3.58</v>
      </c>
      <c r="K22" s="11">
        <f>4*C5</f>
        <v>32</v>
      </c>
      <c r="L22" s="10">
        <f t="shared" si="4"/>
        <v>114.56</v>
      </c>
    </row>
    <row r="23" spans="1:12" x14ac:dyDescent="0.3">
      <c r="A23" s="16" t="s">
        <v>19</v>
      </c>
      <c r="B23" s="8">
        <f>D8+H6+L3</f>
        <v>1532.64</v>
      </c>
      <c r="C23" s="11" t="s">
        <v>32</v>
      </c>
      <c r="D23" s="24">
        <f>(D21 * D22) * (2) + D21</f>
        <v>160328.85247619046</v>
      </c>
      <c r="I23" s="16" t="s">
        <v>58</v>
      </c>
      <c r="J23" s="8">
        <v>10.9</v>
      </c>
      <c r="K23" s="11">
        <f>4*C5</f>
        <v>32</v>
      </c>
      <c r="L23" s="10">
        <f t="shared" si="4"/>
        <v>348.8</v>
      </c>
    </row>
    <row r="24" spans="1:12" x14ac:dyDescent="0.3">
      <c r="A24" s="16" t="s">
        <v>20</v>
      </c>
      <c r="B24" s="8">
        <f>D11+H9+H10</f>
        <v>1319.76</v>
      </c>
      <c r="C24" s="28" t="s">
        <v>70</v>
      </c>
      <c r="D24" s="28" t="s">
        <v>30</v>
      </c>
      <c r="I24" s="16" t="s">
        <v>59</v>
      </c>
      <c r="J24" s="8">
        <v>10.9</v>
      </c>
      <c r="K24" s="11">
        <f>C5</f>
        <v>8</v>
      </c>
      <c r="L24" s="10">
        <f t="shared" si="4"/>
        <v>87.2</v>
      </c>
    </row>
    <row r="25" spans="1:12" x14ac:dyDescent="0.3">
      <c r="A25" s="16" t="s">
        <v>29</v>
      </c>
      <c r="B25" s="8">
        <f>D20</f>
        <v>15624</v>
      </c>
      <c r="C25" s="28" t="s">
        <v>34</v>
      </c>
      <c r="D25" s="29">
        <f>H15</f>
        <v>13950.000000000002</v>
      </c>
      <c r="I25" s="16" t="s">
        <v>60</v>
      </c>
      <c r="J25" s="8">
        <v>12.4</v>
      </c>
      <c r="K25" s="11">
        <f>4*C5</f>
        <v>32</v>
      </c>
      <c r="L25" s="10">
        <f t="shared" si="4"/>
        <v>396.8</v>
      </c>
    </row>
    <row r="26" spans="1:12" x14ac:dyDescent="0.3">
      <c r="A26" s="16" t="s">
        <v>10</v>
      </c>
      <c r="B26" s="8">
        <f>D14+D15+D16+D17</f>
        <v>1760.92</v>
      </c>
      <c r="C26" s="28" t="s">
        <v>35</v>
      </c>
      <c r="D26" s="29">
        <f>H16</f>
        <v>8481.6</v>
      </c>
      <c r="I26" s="16" t="s">
        <v>61</v>
      </c>
      <c r="J26" s="8">
        <v>12.4</v>
      </c>
      <c r="K26" s="11">
        <f>4*C5</f>
        <v>32</v>
      </c>
      <c r="L26" s="10">
        <f t="shared" si="4"/>
        <v>396.8</v>
      </c>
    </row>
    <row r="27" spans="1:12" x14ac:dyDescent="0.3">
      <c r="A27" s="16" t="s">
        <v>25</v>
      </c>
      <c r="B27" s="24">
        <f>(B22+B23+B24+B25+B26) * 0.1</f>
        <v>4476.5319999999992</v>
      </c>
      <c r="C27" s="28" t="s">
        <v>33</v>
      </c>
      <c r="D27" s="29">
        <f>H17</f>
        <v>78120</v>
      </c>
      <c r="I27" s="16" t="s">
        <v>62</v>
      </c>
      <c r="J27" s="8">
        <v>18.91</v>
      </c>
      <c r="K27" s="11">
        <f>C5</f>
        <v>8</v>
      </c>
      <c r="L27" s="10">
        <f t="shared" si="4"/>
        <v>151.28</v>
      </c>
    </row>
    <row r="28" spans="1:12" x14ac:dyDescent="0.3">
      <c r="A28" s="16" t="s">
        <v>40</v>
      </c>
      <c r="B28" s="24">
        <f>L14+L15+L16</f>
        <v>3417.5</v>
      </c>
      <c r="C28" s="28" t="s">
        <v>71</v>
      </c>
      <c r="D28" s="30">
        <f>B22+B23+B24+B25+B26+B27+B28+B29+B30+B31</f>
        <v>59777.252476190464</v>
      </c>
      <c r="I28" s="16" t="s">
        <v>63</v>
      </c>
      <c r="J28" s="8">
        <v>1</v>
      </c>
      <c r="K28" s="11">
        <f>100*C5</f>
        <v>800</v>
      </c>
      <c r="L28" s="10">
        <f t="shared" si="4"/>
        <v>800</v>
      </c>
    </row>
    <row r="29" spans="1:12" x14ac:dyDescent="0.3">
      <c r="A29" s="16" t="s">
        <v>41</v>
      </c>
      <c r="B29" s="24">
        <f>L6+L7+L8+L9+L10+L11</f>
        <v>1503.02</v>
      </c>
      <c r="C29" s="28" t="s">
        <v>39</v>
      </c>
      <c r="D29" s="29">
        <f>D25+D26+D27+D28</f>
        <v>160328.85247619048</v>
      </c>
    </row>
    <row r="30" spans="1:12" x14ac:dyDescent="0.3">
      <c r="A30" s="16" t="s">
        <v>53</v>
      </c>
      <c r="B30" s="24">
        <f>L19+L20+L21+L22+L23+L24+L25+L26+L27+L28</f>
        <v>4863.9661904761915</v>
      </c>
    </row>
    <row r="31" spans="1:12" x14ac:dyDescent="0.3">
      <c r="A31" s="16" t="s">
        <v>64</v>
      </c>
      <c r="B31" s="24">
        <f>P3+P5+P4+P6+P7</f>
        <v>750.91428571428571</v>
      </c>
    </row>
  </sheetData>
  <mergeCells count="1">
    <mergeCell ref="A1:P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Check Box 3">
              <controlPr defaultSize="0" autoFill="0" autoLine="0" autoPict="0">
                <anchor moveWithCells="1">
                  <from>
                    <xdr:col>15</xdr:col>
                    <xdr:colOff>601980</xdr:colOff>
                    <xdr:row>25</xdr:row>
                    <xdr:rowOff>182880</xdr:rowOff>
                  </from>
                  <to>
                    <xdr:col>17</xdr:col>
                    <xdr:colOff>182880</xdr:colOff>
                    <xdr:row>27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2" Rack Pipe Quick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Chris (RC-US SI B ASM SW AUS S)</dc:creator>
  <cp:lastModifiedBy>Brandon Clymer</cp:lastModifiedBy>
  <dcterms:created xsi:type="dcterms:W3CDTF">2024-12-04T14:09:22Z</dcterms:created>
  <dcterms:modified xsi:type="dcterms:W3CDTF">2024-12-14T00:18:24Z</dcterms:modified>
</cp:coreProperties>
</file>