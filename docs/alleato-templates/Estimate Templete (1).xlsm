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929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alleato.sharepoint.com/sites/AlleatoGroup/Shared Documents/Alleato Group/Alleato Group-Shared/2026 Jobs/26-121 - Varsity Brands (City, TX)/04 - Estimate/"/>
    </mc:Choice>
  </mc:AlternateContent>
  <xr:revisionPtr revIDLastSave="139" documentId="8_{0514FFEE-4CE9-4E96-8643-5845209EBF99}" xr6:coauthVersionLast="47" xr6:coauthVersionMax="47" xr10:uidLastSave="{4E945310-C53E-4D5C-BF2D-87A06E7CE4CF}"/>
  <bookViews>
    <workbookView xWindow="3990" yWindow="1020" windowWidth="21600" windowHeight="10920" tabRatio="700" xr2:uid="{00000000-000D-0000-FFFF-FFFF00000000}"/>
  </bookViews>
  <sheets>
    <sheet name="Summary" sheetId="6" r:id="rId1"/>
    <sheet name="General Conditions" sheetId="7" r:id="rId2"/>
    <sheet name="Details" sheetId="11" r:id="rId3"/>
    <sheet name="SubList" sheetId="10" r:id="rId4"/>
  </sheets>
  <definedNames>
    <definedName name="_xlnm.Print_Area" localSheetId="0">Summary!$A$2:$D$76</definedName>
    <definedName name="_xlnm.Print_Titles" localSheetId="0">Summary!$1:$13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" i="7" l="1"/>
  <c r="E15" i="7"/>
  <c r="C15" i="7" s="1"/>
  <c r="E40" i="7"/>
  <c r="C40" i="7" s="1"/>
  <c r="C18" i="7"/>
  <c r="C23" i="7"/>
  <c r="C24" i="7"/>
  <c r="C25" i="7"/>
  <c r="C26" i="7"/>
  <c r="C27" i="7"/>
  <c r="C28" i="7"/>
  <c r="C29" i="7"/>
  <c r="C34" i="7"/>
  <c r="C43" i="7"/>
  <c r="C44" i="7"/>
  <c r="C45" i="7"/>
  <c r="C46" i="7"/>
  <c r="C47" i="7"/>
  <c r="C48" i="7"/>
  <c r="C49" i="7"/>
  <c r="C50" i="7"/>
  <c r="C51" i="7"/>
  <c r="C53" i="7"/>
  <c r="C54" i="7"/>
  <c r="C58" i="7"/>
  <c r="C60" i="7"/>
  <c r="C61" i="7"/>
  <c r="C66" i="7"/>
  <c r="C67" i="7"/>
  <c r="C69" i="7"/>
  <c r="C70" i="7"/>
  <c r="C71" i="7"/>
  <c r="C72" i="7"/>
  <c r="C73" i="7"/>
  <c r="C74" i="7"/>
  <c r="D33" i="11"/>
  <c r="B22" i="6" s="1"/>
  <c r="D26" i="11"/>
  <c r="B20" i="6" s="1"/>
  <c r="E52" i="7"/>
  <c r="C52" i="7" s="1"/>
  <c r="E59" i="7"/>
  <c r="C59" i="7" s="1"/>
  <c r="D13" i="11"/>
  <c r="B18" i="6" s="1"/>
  <c r="D316" i="11"/>
  <c r="B68" i="6" s="1"/>
  <c r="D294" i="11"/>
  <c r="B66" i="6" s="1"/>
  <c r="D291" i="11"/>
  <c r="B64" i="6" s="1"/>
  <c r="D286" i="11"/>
  <c r="B62" i="6" s="1"/>
  <c r="D272" i="11"/>
  <c r="B60" i="6" s="1"/>
  <c r="D250" i="11"/>
  <c r="B58" i="6" s="1"/>
  <c r="D233" i="11"/>
  <c r="B56" i="6" s="1"/>
  <c r="D227" i="11"/>
  <c r="B54" i="6" s="1"/>
  <c r="D222" i="11"/>
  <c r="B52" i="6" s="1"/>
  <c r="D211" i="11"/>
  <c r="B50" i="6" s="1"/>
  <c r="D208" i="11"/>
  <c r="B48" i="6" s="1"/>
  <c r="D198" i="11"/>
  <c r="B46" i="6" s="1"/>
  <c r="D184" i="11"/>
  <c r="B44" i="6" s="1"/>
  <c r="D173" i="11"/>
  <c r="B42" i="6" s="1"/>
  <c r="D169" i="11"/>
  <c r="B40" i="6" s="1"/>
  <c r="D162" i="11"/>
  <c r="B38" i="6" s="1"/>
  <c r="D154" i="11"/>
  <c r="B36" i="6" s="1"/>
  <c r="D147" i="11"/>
  <c r="B34" i="6" s="1"/>
  <c r="D125" i="11"/>
  <c r="B32" i="6" s="1"/>
  <c r="D99" i="11"/>
  <c r="B30" i="6" s="1"/>
  <c r="D73" i="11"/>
  <c r="B28" i="6" s="1"/>
  <c r="D53" i="11"/>
  <c r="B26" i="6" s="1"/>
  <c r="D46" i="11"/>
  <c r="B24" i="6" s="1"/>
  <c r="C128" i="10"/>
  <c r="C122" i="10"/>
  <c r="C116" i="10"/>
  <c r="C110" i="10"/>
  <c r="C104" i="10"/>
  <c r="C98" i="10"/>
  <c r="C92" i="10"/>
  <c r="C86" i="10"/>
  <c r="C80" i="10"/>
  <c r="C74" i="10"/>
  <c r="C68" i="10"/>
  <c r="C62" i="10"/>
  <c r="C56" i="10"/>
  <c r="C50" i="10"/>
  <c r="C44" i="10"/>
  <c r="C38" i="10"/>
  <c r="C32" i="10"/>
  <c r="C26" i="10"/>
  <c r="C20" i="10"/>
  <c r="C14" i="10"/>
  <c r="C8" i="10"/>
  <c r="E68" i="7"/>
  <c r="C68" i="7" s="1"/>
  <c r="E65" i="7"/>
  <c r="C65" i="7" s="1"/>
  <c r="E64" i="7"/>
  <c r="C64" i="7" s="1"/>
  <c r="E63" i="7"/>
  <c r="C63" i="7" s="1"/>
  <c r="E62" i="7"/>
  <c r="C62" i="7" s="1"/>
  <c r="E57" i="7"/>
  <c r="C57" i="7" s="1"/>
  <c r="E56" i="7"/>
  <c r="C56" i="7" s="1"/>
  <c r="E55" i="7"/>
  <c r="C55" i="7" s="1"/>
  <c r="E42" i="7"/>
  <c r="C42" i="7" s="1"/>
  <c r="E41" i="7"/>
  <c r="C41" i="7" s="1"/>
  <c r="E39" i="7"/>
  <c r="C39" i="7" s="1"/>
  <c r="E38" i="7"/>
  <c r="C38" i="7" s="1"/>
  <c r="E37" i="7"/>
  <c r="C37" i="7" s="1"/>
  <c r="E36" i="7"/>
  <c r="C36" i="7" s="1"/>
  <c r="E35" i="7"/>
  <c r="C35" i="7" s="1"/>
  <c r="E33" i="7"/>
  <c r="C33" i="7" s="1"/>
  <c r="E32" i="7"/>
  <c r="C32" i="7" s="1"/>
  <c r="E31" i="7"/>
  <c r="C31" i="7" s="1"/>
  <c r="E30" i="7"/>
  <c r="C30" i="7" s="1"/>
  <c r="E22" i="7"/>
  <c r="C22" i="7" s="1"/>
  <c r="E21" i="7"/>
  <c r="C21" i="7" s="1"/>
  <c r="E20" i="7"/>
  <c r="C20" i="7" s="1"/>
  <c r="E19" i="7"/>
  <c r="C19" i="7" s="1"/>
  <c r="E17" i="7"/>
  <c r="C17" i="7" s="1"/>
  <c r="E16" i="7"/>
  <c r="C16" i="7" s="1"/>
  <c r="E4" i="7" l="1"/>
  <c r="C4" i="7" s="1"/>
  <c r="E5" i="7"/>
  <c r="C5" i="7" s="1"/>
  <c r="E6" i="7"/>
  <c r="C6" i="7" s="1"/>
  <c r="E7" i="7"/>
  <c r="C7" i="7" s="1"/>
  <c r="E8" i="7"/>
  <c r="C8" i="7" s="1"/>
  <c r="E9" i="7"/>
  <c r="C9" i="7" s="1"/>
  <c r="E10" i="7"/>
  <c r="C10" i="7" s="1"/>
  <c r="E11" i="7"/>
  <c r="C11" i="7" s="1"/>
  <c r="E12" i="7"/>
  <c r="C12" i="7" s="1"/>
  <c r="E13" i="7"/>
  <c r="C13" i="7" s="1"/>
  <c r="E14" i="7"/>
  <c r="C14" i="7" s="1"/>
  <c r="C76" i="7" l="1"/>
  <c r="B16" i="6" l="1"/>
  <c r="D318" i="11"/>
  <c r="D321" i="11" l="1"/>
  <c r="B71" i="6"/>
  <c r="D320" i="11"/>
  <c r="B72" i="6" s="1"/>
  <c r="B73" i="6" l="1"/>
  <c r="D322" i="11"/>
  <c r="B74" i="6" l="1"/>
  <c r="D324" i="11"/>
  <c r="B75" i="6" s="1"/>
</calcChain>
</file>

<file path=xl/sharedStrings.xml><?xml version="1.0" encoding="utf-8"?>
<sst xmlns="http://schemas.openxmlformats.org/spreadsheetml/2006/main" count="831" uniqueCount="681">
  <si>
    <t>Contact</t>
  </si>
  <si>
    <t>Project:</t>
  </si>
  <si>
    <t>Location:</t>
  </si>
  <si>
    <t>Division 01 General Conditions</t>
  </si>
  <si>
    <t>Total</t>
  </si>
  <si>
    <t>Division 02 Existing Conditions</t>
  </si>
  <si>
    <t>Division 03 Concrete</t>
  </si>
  <si>
    <t xml:space="preserve"> </t>
  </si>
  <si>
    <t>Division 04 Masonry</t>
  </si>
  <si>
    <t>Masonry</t>
  </si>
  <si>
    <t>Division 05 Metals</t>
  </si>
  <si>
    <t>Division 06 Wood Plastics Composits</t>
  </si>
  <si>
    <t>Division 07 Thermal and Moisture Protection</t>
  </si>
  <si>
    <t>Division 08 Openings</t>
  </si>
  <si>
    <t>Division 09 Finishes</t>
  </si>
  <si>
    <t>Final Cleaning</t>
  </si>
  <si>
    <t>Division 10 Specialties</t>
  </si>
  <si>
    <t>Division 11 Equipment</t>
  </si>
  <si>
    <t>Division 12 Furnishings</t>
  </si>
  <si>
    <t>Division 21 Fire Suppression</t>
  </si>
  <si>
    <t>Division 22 Plumbing</t>
  </si>
  <si>
    <t>Division 23 HVAC</t>
  </si>
  <si>
    <t xml:space="preserve">Division 26 Electrical </t>
  </si>
  <si>
    <t>Division 28 Electronic Safety and Secutiry</t>
  </si>
  <si>
    <t>Division 31 Earthwork</t>
  </si>
  <si>
    <t>Division 32 Exterior Improvements</t>
  </si>
  <si>
    <t>Division 33 Utilities</t>
  </si>
  <si>
    <t xml:space="preserve">Division 50 Design </t>
  </si>
  <si>
    <t>Subtotal</t>
  </si>
  <si>
    <t>Contingency</t>
  </si>
  <si>
    <t>Insurance</t>
  </si>
  <si>
    <t>Fee</t>
  </si>
  <si>
    <t>Total Cost</t>
  </si>
  <si>
    <t>Alternates</t>
  </si>
  <si>
    <t>Electrical</t>
  </si>
  <si>
    <t>Project Duration</t>
  </si>
  <si>
    <t>Months</t>
  </si>
  <si>
    <t>Weeks</t>
  </si>
  <si>
    <t>General Conditions</t>
  </si>
  <si>
    <t>Quantity</t>
  </si>
  <si>
    <t>Unit</t>
  </si>
  <si>
    <t>Rate</t>
  </si>
  <si>
    <t>01-3120</t>
  </si>
  <si>
    <t>Vice President</t>
  </si>
  <si>
    <t>01-3126</t>
  </si>
  <si>
    <t>Pre-construction</t>
  </si>
  <si>
    <t>01-3127</t>
  </si>
  <si>
    <t>Sr. Project Manager</t>
  </si>
  <si>
    <t>01-3128</t>
  </si>
  <si>
    <t>Project Manager</t>
  </si>
  <si>
    <t>01-3129</t>
  </si>
  <si>
    <t>Assistant Project Manager (APM)</t>
  </si>
  <si>
    <t>01-3130</t>
  </si>
  <si>
    <t>Project Engineer</t>
  </si>
  <si>
    <t>01-3131</t>
  </si>
  <si>
    <t>Field Engineer</t>
  </si>
  <si>
    <t>01-3132</t>
  </si>
  <si>
    <t>Intern</t>
  </si>
  <si>
    <t>01-3142</t>
  </si>
  <si>
    <t>General Superintendent</t>
  </si>
  <si>
    <t>01-3143</t>
  </si>
  <si>
    <t>Sr. Superintendent</t>
  </si>
  <si>
    <t>01-3144</t>
  </si>
  <si>
    <t>Superintendent</t>
  </si>
  <si>
    <t>01-3145</t>
  </si>
  <si>
    <t>Assistant Superintendent</t>
  </si>
  <si>
    <t>01-3223</t>
  </si>
  <si>
    <t>Construction Layout</t>
  </si>
  <si>
    <t>01-3236</t>
  </si>
  <si>
    <t>Aerial &amp; Periodic Drones</t>
  </si>
  <si>
    <t>01-3238</t>
  </si>
  <si>
    <t>Jobsite Security</t>
  </si>
  <si>
    <t>LS</t>
  </si>
  <si>
    <t>01-3245</t>
  </si>
  <si>
    <t>Office Supplies</t>
  </si>
  <si>
    <t>01-3247</t>
  </si>
  <si>
    <t>Printing &amp; Copying</t>
  </si>
  <si>
    <t>01-3249</t>
  </si>
  <si>
    <t>Postage &amp; Courier</t>
  </si>
  <si>
    <t>01-3329</t>
  </si>
  <si>
    <t>LEED Documentation</t>
  </si>
  <si>
    <t>01-3514</t>
  </si>
  <si>
    <t>Legal Fees</t>
  </si>
  <si>
    <t>01-4123</t>
  </si>
  <si>
    <t>Fees</t>
  </si>
  <si>
    <t>SF</t>
  </si>
  <si>
    <t>01-4124</t>
  </si>
  <si>
    <t>Sanitary Fees</t>
  </si>
  <si>
    <t>01-4126</t>
  </si>
  <si>
    <t>Permit Requirements</t>
  </si>
  <si>
    <t>01-4523</t>
  </si>
  <si>
    <t>Testing and Inspections</t>
  </si>
  <si>
    <t>01-4533</t>
  </si>
  <si>
    <t>Municipality Inspections</t>
  </si>
  <si>
    <t>EA</t>
  </si>
  <si>
    <t>01-4613</t>
  </si>
  <si>
    <t>Winter Conditions</t>
  </si>
  <si>
    <t>01-5113</t>
  </si>
  <si>
    <t>Temporary Electric</t>
  </si>
  <si>
    <t>01-5116</t>
  </si>
  <si>
    <t>Temporary Fire Protection</t>
  </si>
  <si>
    <t>01-5119</t>
  </si>
  <si>
    <t>Temporary Fuel</t>
  </si>
  <si>
    <t>01-5123</t>
  </si>
  <si>
    <t>Temporary HVAC</t>
  </si>
  <si>
    <t>01-5126</t>
  </si>
  <si>
    <t>Temporary Lighting</t>
  </si>
  <si>
    <t>01-5129</t>
  </si>
  <si>
    <t>Temporary Gas</t>
  </si>
  <si>
    <t>01-5133</t>
  </si>
  <si>
    <t>Temporary Internet/Telecomm</t>
  </si>
  <si>
    <t>01-5136</t>
  </si>
  <si>
    <t>Temporary Water</t>
  </si>
  <si>
    <t>01-5213</t>
  </si>
  <si>
    <t>Field Offices</t>
  </si>
  <si>
    <t>01-5214</t>
  </si>
  <si>
    <t>Temporary Storage</t>
  </si>
  <si>
    <t>01-5216</t>
  </si>
  <si>
    <t>First Aid / Safety Supplies</t>
  </si>
  <si>
    <t>01-5217</t>
  </si>
  <si>
    <t>Safety Inspections</t>
  </si>
  <si>
    <t>01-5219</t>
  </si>
  <si>
    <t>Temporary Toilets</t>
  </si>
  <si>
    <t>01-5419</t>
  </si>
  <si>
    <t>Temporary Cranes</t>
  </si>
  <si>
    <t>01-5423</t>
  </si>
  <si>
    <t>Temp Scaffolding &amp; Platforms</t>
  </si>
  <si>
    <t>01-5513</t>
  </si>
  <si>
    <t>Temporary Access Roads</t>
  </si>
  <si>
    <t>01-5519</t>
  </si>
  <si>
    <t>Temporary Parking Areas</t>
  </si>
  <si>
    <t>01-5623</t>
  </si>
  <si>
    <t>Temporary Barricades</t>
  </si>
  <si>
    <t>01-5626</t>
  </si>
  <si>
    <t>Tempoary Fencing</t>
  </si>
  <si>
    <t>LF</t>
  </si>
  <si>
    <t>01-5639</t>
  </si>
  <si>
    <t>Temp Tree &amp; Plant Protection</t>
  </si>
  <si>
    <t>01-5713</t>
  </si>
  <si>
    <t>Temporary Erosion and Sediment</t>
  </si>
  <si>
    <t>01-5813</t>
  </si>
  <si>
    <t>Temporary Project Signage</t>
  </si>
  <si>
    <t>01-6113</t>
  </si>
  <si>
    <t>Software Licensing</t>
  </si>
  <si>
    <t>01-6115</t>
  </si>
  <si>
    <t>Performance and Payment Bonds</t>
  </si>
  <si>
    <t>01-6119</t>
  </si>
  <si>
    <t>Maintenenace Bond</t>
  </si>
  <si>
    <t>01-6500</t>
  </si>
  <si>
    <t>Travel</t>
  </si>
  <si>
    <t>01-6502</t>
  </si>
  <si>
    <t>Truck Allowance</t>
  </si>
  <si>
    <t>01-6503</t>
  </si>
  <si>
    <t>Truck Fuel</t>
  </si>
  <si>
    <t>01-6504</t>
  </si>
  <si>
    <t>Recruitment</t>
  </si>
  <si>
    <t>01-6505</t>
  </si>
  <si>
    <t>Marketing</t>
  </si>
  <si>
    <t>01-7123</t>
  </si>
  <si>
    <t>Construction Surveying</t>
  </si>
  <si>
    <t>01-7329</t>
  </si>
  <si>
    <t>Cutting and Patching</t>
  </si>
  <si>
    <t>01-7333</t>
  </si>
  <si>
    <t>Misc Small Tools</t>
  </si>
  <si>
    <t>01-7336</t>
  </si>
  <si>
    <t>Equipment Rental</t>
  </si>
  <si>
    <t>01-7413</t>
  </si>
  <si>
    <t>Progress Cleaning</t>
  </si>
  <si>
    <t>01-7416</t>
  </si>
  <si>
    <t>Site Maintenance</t>
  </si>
  <si>
    <t>01-7419</t>
  </si>
  <si>
    <t>Dumpsters</t>
  </si>
  <si>
    <t>01-7423</t>
  </si>
  <si>
    <t>01-7425</t>
  </si>
  <si>
    <t>General Labor</t>
  </si>
  <si>
    <t>01-7433</t>
  </si>
  <si>
    <t>Window Washing</t>
  </si>
  <si>
    <t>01-7823</t>
  </si>
  <si>
    <t>Operation and Maintenance Data</t>
  </si>
  <si>
    <t>01-7836</t>
  </si>
  <si>
    <t>Warranties</t>
  </si>
  <si>
    <t>01-7841</t>
  </si>
  <si>
    <t>Project Final Photos</t>
  </si>
  <si>
    <t>01-8113</t>
  </si>
  <si>
    <t>Sust Design Reqmts/LEED Reqmts</t>
  </si>
  <si>
    <t>01-9119</t>
  </si>
  <si>
    <t>Facility Commissioning</t>
  </si>
  <si>
    <t>Description</t>
  </si>
  <si>
    <t>Comments</t>
  </si>
  <si>
    <t>Topographic Survey</t>
  </si>
  <si>
    <t>Architectural Design</t>
  </si>
  <si>
    <t>01 General Conditions</t>
  </si>
  <si>
    <t>02 Existing Conditions</t>
  </si>
  <si>
    <t>02-4113</t>
  </si>
  <si>
    <t>03 Concrete</t>
  </si>
  <si>
    <t>04 Masonry</t>
  </si>
  <si>
    <t>04-2000</t>
  </si>
  <si>
    <t>05 Metals</t>
  </si>
  <si>
    <t>05-1200</t>
  </si>
  <si>
    <t>06 Wood Plastics Composits</t>
  </si>
  <si>
    <t>06-1100</t>
  </si>
  <si>
    <t>07 Thermal and Moisture Protection</t>
  </si>
  <si>
    <t>08 Openings</t>
  </si>
  <si>
    <t>08-7100</t>
  </si>
  <si>
    <t>08-3600</t>
  </si>
  <si>
    <t>09 Finishes</t>
  </si>
  <si>
    <t>09-2116</t>
  </si>
  <si>
    <t>09-6013</t>
  </si>
  <si>
    <t>09-5100</t>
  </si>
  <si>
    <t>09-9123</t>
  </si>
  <si>
    <t>10 Specialties</t>
  </si>
  <si>
    <t>10-1400</t>
  </si>
  <si>
    <t>10-4000</t>
  </si>
  <si>
    <t>10-2813</t>
  </si>
  <si>
    <t>10-4116</t>
  </si>
  <si>
    <t>11 Equipment</t>
  </si>
  <si>
    <t>12 Furnishings</t>
  </si>
  <si>
    <t>12-3000</t>
  </si>
  <si>
    <t>12-5100</t>
  </si>
  <si>
    <t>21 Fire Suppression</t>
  </si>
  <si>
    <t>21-1200</t>
  </si>
  <si>
    <t>22 Plumbing</t>
  </si>
  <si>
    <t>22-1000</t>
  </si>
  <si>
    <t>22-1319</t>
  </si>
  <si>
    <t>23 HVAC</t>
  </si>
  <si>
    <t>26 Electrical</t>
  </si>
  <si>
    <t>26-2000</t>
  </si>
  <si>
    <t>26-5100</t>
  </si>
  <si>
    <t>27  Communications</t>
  </si>
  <si>
    <t>28 Electronic Safety and Security</t>
  </si>
  <si>
    <t>31 Earthwork</t>
  </si>
  <si>
    <t>32 Exterior Improvements</t>
  </si>
  <si>
    <t>32-3113</t>
  </si>
  <si>
    <t>32-1723</t>
  </si>
  <si>
    <t>33 Utilities/Storm/Drain</t>
  </si>
  <si>
    <t>33-4231</t>
  </si>
  <si>
    <t>Asphalt Paving</t>
  </si>
  <si>
    <t>Plumbing</t>
  </si>
  <si>
    <t>HVAC</t>
  </si>
  <si>
    <t>Cost Code</t>
  </si>
  <si>
    <t>Equipment</t>
  </si>
  <si>
    <t>03-3500</t>
  </si>
  <si>
    <t>Concrete Finishing</t>
  </si>
  <si>
    <t>Unit Masonry-Brick</t>
  </si>
  <si>
    <t>04-2200</t>
  </si>
  <si>
    <t>Concrete Unit Masonry-Block</t>
  </si>
  <si>
    <t>04-4300</t>
  </si>
  <si>
    <t>Stone Masonry</t>
  </si>
  <si>
    <t>04-7200</t>
  </si>
  <si>
    <t>Cast Stone Masonry</t>
  </si>
  <si>
    <t>04-7300</t>
  </si>
  <si>
    <t>Manfactured Stone Masonry</t>
  </si>
  <si>
    <t>05-1100</t>
  </si>
  <si>
    <t>Miscellaneous Metals</t>
  </si>
  <si>
    <t>Structural Steel Framing</t>
  </si>
  <si>
    <t>05-2000</t>
  </si>
  <si>
    <t>Metal Joists</t>
  </si>
  <si>
    <t>05-3000</t>
  </si>
  <si>
    <t>Metal Decking</t>
  </si>
  <si>
    <t>05-4100</t>
  </si>
  <si>
    <t>Structural Metal Stud Framing</t>
  </si>
  <si>
    <t>05-5100</t>
  </si>
  <si>
    <t>Metal Stairs</t>
  </si>
  <si>
    <t>05-5133</t>
  </si>
  <si>
    <t>Metal Ladders</t>
  </si>
  <si>
    <t>05-5813</t>
  </si>
  <si>
    <t>Column Covers</t>
  </si>
  <si>
    <t>05-5823</t>
  </si>
  <si>
    <t>Formed Metal Guards</t>
  </si>
  <si>
    <t>05-5900</t>
  </si>
  <si>
    <t>Metal Specialties</t>
  </si>
  <si>
    <t>05-7000</t>
  </si>
  <si>
    <t>Decorative Metal</t>
  </si>
  <si>
    <t>06-1000</t>
  </si>
  <si>
    <t>Rough Carpentry</t>
  </si>
  <si>
    <t>Wood Framing</t>
  </si>
  <si>
    <t>07-2100</t>
  </si>
  <si>
    <t>Thermal Insulation</t>
  </si>
  <si>
    <t>07-2500</t>
  </si>
  <si>
    <t>Weather Barriers</t>
  </si>
  <si>
    <t>08-1113</t>
  </si>
  <si>
    <t>Hollow Metal Door and Frames</t>
  </si>
  <si>
    <t>Overhead Doors</t>
  </si>
  <si>
    <t>Door Hardware</t>
  </si>
  <si>
    <t>08-7900</t>
  </si>
  <si>
    <t>Hardware Accessories</t>
  </si>
  <si>
    <t>Gypsum Board Assemblies</t>
  </si>
  <si>
    <t>Acoustical Ceilings</t>
  </si>
  <si>
    <t>Floor Prep</t>
  </si>
  <si>
    <t>09-6200</t>
  </si>
  <si>
    <t>Specialty Flooring</t>
  </si>
  <si>
    <t>09-6513</t>
  </si>
  <si>
    <t>Resilient Base</t>
  </si>
  <si>
    <t>Interior Painting</t>
  </si>
  <si>
    <t>10-1116</t>
  </si>
  <si>
    <t>Markerboards</t>
  </si>
  <si>
    <t>10-1139</t>
  </si>
  <si>
    <t>Visual Display Rails</t>
  </si>
  <si>
    <t>10-1300</t>
  </si>
  <si>
    <t>Directories</t>
  </si>
  <si>
    <t>Signage</t>
  </si>
  <si>
    <t>10-2113</t>
  </si>
  <si>
    <t>Toilet Compartments</t>
  </si>
  <si>
    <t>10-2123</t>
  </si>
  <si>
    <t>Cubicle Curtains and Track</t>
  </si>
  <si>
    <t>10-2233</t>
  </si>
  <si>
    <t>Accordion Folding Partitions</t>
  </si>
  <si>
    <t>10-2613</t>
  </si>
  <si>
    <t>Corner Guards</t>
  </si>
  <si>
    <t>10-2616</t>
  </si>
  <si>
    <t>Bumper Guards</t>
  </si>
  <si>
    <t>10-2623</t>
  </si>
  <si>
    <t>Fiberglass Reinf Prot Covering</t>
  </si>
  <si>
    <t>Toilet Accessories</t>
  </si>
  <si>
    <t>Safety Specialties</t>
  </si>
  <si>
    <t>Knox Box</t>
  </si>
  <si>
    <t>10-4416</t>
  </si>
  <si>
    <t>Fire Extinguishers</t>
  </si>
  <si>
    <t>10-5100</t>
  </si>
  <si>
    <t>Lockers</t>
  </si>
  <si>
    <t>10-5523</t>
  </si>
  <si>
    <t>Mail Boxes</t>
  </si>
  <si>
    <t>10-7313</t>
  </si>
  <si>
    <t>Awnings</t>
  </si>
  <si>
    <t>10-7316</t>
  </si>
  <si>
    <t>Canopies</t>
  </si>
  <si>
    <t>10-7500</t>
  </si>
  <si>
    <t>Flagpoles</t>
  </si>
  <si>
    <t>10-8200</t>
  </si>
  <si>
    <t>Grilles and Screens</t>
  </si>
  <si>
    <t>11-1200</t>
  </si>
  <si>
    <t>Parking Control Equipment</t>
  </si>
  <si>
    <t>11-1300</t>
  </si>
  <si>
    <t>Loading Dock Equipment</t>
  </si>
  <si>
    <t>Window Blinds</t>
  </si>
  <si>
    <t>Specialty Casework</t>
  </si>
  <si>
    <t>11-4000</t>
  </si>
  <si>
    <t>Foodservice Equipment</t>
  </si>
  <si>
    <t>Entrance Floor Mats and Frames</t>
  </si>
  <si>
    <t>Office Furniture</t>
  </si>
  <si>
    <t>Other Furnishings</t>
  </si>
  <si>
    <t>Casework</t>
  </si>
  <si>
    <t>12-3500</t>
  </si>
  <si>
    <t>13-2100</t>
  </si>
  <si>
    <t>Controlled Environment Rooms</t>
  </si>
  <si>
    <t>13-2213</t>
  </si>
  <si>
    <t>Paint Booths</t>
  </si>
  <si>
    <t>13-2400</t>
  </si>
  <si>
    <t>Special Activity Rooms</t>
  </si>
  <si>
    <t>13-3400</t>
  </si>
  <si>
    <t>Fabricated Engr Structures</t>
  </si>
  <si>
    <t>13-4900</t>
  </si>
  <si>
    <t>Radiation Protection</t>
  </si>
  <si>
    <t>14-2000</t>
  </si>
  <si>
    <t>Elevators</t>
  </si>
  <si>
    <t>14-4200</t>
  </si>
  <si>
    <t>Wheelchair Lifts</t>
  </si>
  <si>
    <t>21-1100</t>
  </si>
  <si>
    <t>Facility Fire-Suppresion Water</t>
  </si>
  <si>
    <t>Fire-Suppression Standpipes</t>
  </si>
  <si>
    <t>21-1223</t>
  </si>
  <si>
    <t>Hose Valve Stations</t>
  </si>
  <si>
    <t>21-1313</t>
  </si>
  <si>
    <t>Wet-Pipe Sprinkler System</t>
  </si>
  <si>
    <t>21-1316</t>
  </si>
  <si>
    <t>Dry-Pipe Sprinkler Systems</t>
  </si>
  <si>
    <t>21-1319</t>
  </si>
  <si>
    <t>Preaction Sprinkler Systems</t>
  </si>
  <si>
    <t>21-2000</t>
  </si>
  <si>
    <t>Fire-Extinguishering System</t>
  </si>
  <si>
    <t>21-3000</t>
  </si>
  <si>
    <t>Fire Pumps</t>
  </si>
  <si>
    <t>21-4000</t>
  </si>
  <si>
    <t>Fire-Suppression Water Storage</t>
  </si>
  <si>
    <t>Plumbing Piping</t>
  </si>
  <si>
    <t>22-1116</t>
  </si>
  <si>
    <t>Domestic Water Piping</t>
  </si>
  <si>
    <t>22-1123</t>
  </si>
  <si>
    <t>Domestic Water Pumps</t>
  </si>
  <si>
    <t>22-1316</t>
  </si>
  <si>
    <t>Sanitary Waste and Vent Piping</t>
  </si>
  <si>
    <t>Grease Removal Devices</t>
  </si>
  <si>
    <t>22-1326</t>
  </si>
  <si>
    <t>Sanitary Waste Separators</t>
  </si>
  <si>
    <t>22-1416</t>
  </si>
  <si>
    <t>Roof Drains and Leaders</t>
  </si>
  <si>
    <t>22-1500</t>
  </si>
  <si>
    <t>Gen Serv Compress-Air Systems</t>
  </si>
  <si>
    <t>22-4513</t>
  </si>
  <si>
    <t>Emergency Showers</t>
  </si>
  <si>
    <t>22-4516</t>
  </si>
  <si>
    <t>Eyewash Equipment</t>
  </si>
  <si>
    <t>22-4713</t>
  </si>
  <si>
    <t>Drinking Fountains</t>
  </si>
  <si>
    <t>22-6000</t>
  </si>
  <si>
    <t>Medical Gas System</t>
  </si>
  <si>
    <t>23-0700</t>
  </si>
  <si>
    <t>HVAC Insulation</t>
  </si>
  <si>
    <t>23-1123</t>
  </si>
  <si>
    <t>Facility Natural-Gas Piping</t>
  </si>
  <si>
    <t>23-3000</t>
  </si>
  <si>
    <t>HVAC Air Distribution</t>
  </si>
  <si>
    <t>23-3439</t>
  </si>
  <si>
    <t>HVLS Fans</t>
  </si>
  <si>
    <t>23-3800</t>
  </si>
  <si>
    <t>Summer Ventilation</t>
  </si>
  <si>
    <t>23-5600</t>
  </si>
  <si>
    <t>Solar Energy Heating Equipment</t>
  </si>
  <si>
    <t>23-7000</t>
  </si>
  <si>
    <t>Central HVAC Equipment</t>
  </si>
  <si>
    <t>23-8000</t>
  </si>
  <si>
    <t>Decentralized HVAC Equipment</t>
  </si>
  <si>
    <t>25-5000</t>
  </si>
  <si>
    <t>Energy Management System</t>
  </si>
  <si>
    <t>26-1000</t>
  </si>
  <si>
    <t>Med-Volt Elect Distribution</t>
  </si>
  <si>
    <t>Low-Volt Elect Distribution</t>
  </si>
  <si>
    <t>26-3100</t>
  </si>
  <si>
    <t>Photovoltaic Collectors</t>
  </si>
  <si>
    <t>26-3200</t>
  </si>
  <si>
    <t>Packaged Generators</t>
  </si>
  <si>
    <t>26-3343</t>
  </si>
  <si>
    <t>Charging Equipment</t>
  </si>
  <si>
    <t>Interior Lighting</t>
  </si>
  <si>
    <t>26-5213</t>
  </si>
  <si>
    <t>Emergency and Exit Lighting</t>
  </si>
  <si>
    <t>26-5500</t>
  </si>
  <si>
    <t>Special Purpose Lighting</t>
  </si>
  <si>
    <t>26-5600</t>
  </si>
  <si>
    <t>Exterior Lighting</t>
  </si>
  <si>
    <t>27-1000</t>
  </si>
  <si>
    <t>Access Control</t>
  </si>
  <si>
    <t>27-3000</t>
  </si>
  <si>
    <t>27-4000</t>
  </si>
  <si>
    <t>28-2000</t>
  </si>
  <si>
    <t>28-4000</t>
  </si>
  <si>
    <t>28-4600</t>
  </si>
  <si>
    <t>Fire Detection and Alarm</t>
  </si>
  <si>
    <t>31-1100</t>
  </si>
  <si>
    <t>Clearing and Grubbing</t>
  </si>
  <si>
    <t>31-2213</t>
  </si>
  <si>
    <t>Rough Grading</t>
  </si>
  <si>
    <t>31-2219</t>
  </si>
  <si>
    <t>Finish Grading</t>
  </si>
  <si>
    <t>31-2316</t>
  </si>
  <si>
    <t>Excavation</t>
  </si>
  <si>
    <t>31-2319</t>
  </si>
  <si>
    <t>Dewatering</t>
  </si>
  <si>
    <t>31-2500</t>
  </si>
  <si>
    <t>Erosion Control (permanent)</t>
  </si>
  <si>
    <t>31-3200</t>
  </si>
  <si>
    <t>Soil Stabilization</t>
  </si>
  <si>
    <t>31-3219</t>
  </si>
  <si>
    <t>Geogrid Soil Stabilization</t>
  </si>
  <si>
    <t>31-3700</t>
  </si>
  <si>
    <t>Riprap</t>
  </si>
  <si>
    <t>31-4800</t>
  </si>
  <si>
    <t>Underpinning</t>
  </si>
  <si>
    <t>31-5000</t>
  </si>
  <si>
    <t>Excav Support and Protection</t>
  </si>
  <si>
    <t>31-6000</t>
  </si>
  <si>
    <t>Special Foundations &amp; Load Bea</t>
  </si>
  <si>
    <t>31-6200</t>
  </si>
  <si>
    <t>Driven Piles</t>
  </si>
  <si>
    <t>31-6613</t>
  </si>
  <si>
    <t>Aggregate Piles/Geopiers</t>
  </si>
  <si>
    <t>31-6615</t>
  </si>
  <si>
    <t>Helical Foundation Piles</t>
  </si>
  <si>
    <t>32-0523</t>
  </si>
  <si>
    <t>Cement and Concrete Exterior</t>
  </si>
  <si>
    <t>32-1123</t>
  </si>
  <si>
    <t>Aggregate Base Courses</t>
  </si>
  <si>
    <t>32-1216</t>
  </si>
  <si>
    <t>32-1236</t>
  </si>
  <si>
    <t>Seal Coating</t>
  </si>
  <si>
    <t>32-1313</t>
  </si>
  <si>
    <t>Concrete Paving</t>
  </si>
  <si>
    <t>32-1373</t>
  </si>
  <si>
    <t>Concrete Paving Joint Sealants</t>
  </si>
  <si>
    <t>32-1500</t>
  </si>
  <si>
    <t>Aggregate Surfacing</t>
  </si>
  <si>
    <t>32-1613</t>
  </si>
  <si>
    <t>Curbs and Gutters</t>
  </si>
  <si>
    <t>32-1623</t>
  </si>
  <si>
    <t>Sidewalks</t>
  </si>
  <si>
    <t>32-1633</t>
  </si>
  <si>
    <t>Driveways</t>
  </si>
  <si>
    <t>32-1713</t>
  </si>
  <si>
    <t>Parking Bumpers</t>
  </si>
  <si>
    <t>Pavement Markings</t>
  </si>
  <si>
    <t>Chain Link Fences and Gates</t>
  </si>
  <si>
    <t>32-3213</t>
  </si>
  <si>
    <t>CIP Concrete Retaining Walls</t>
  </si>
  <si>
    <t>32-3300</t>
  </si>
  <si>
    <t>Site Furnishings</t>
  </si>
  <si>
    <t>32-3500</t>
  </si>
  <si>
    <t>Screening Devices</t>
  </si>
  <si>
    <t>32-3900</t>
  </si>
  <si>
    <t>Manufactured Site Specialties</t>
  </si>
  <si>
    <t>32-7000</t>
  </si>
  <si>
    <t>Wetlands</t>
  </si>
  <si>
    <t>32-8000</t>
  </si>
  <si>
    <t>Irrigation</t>
  </si>
  <si>
    <t>32-9000</t>
  </si>
  <si>
    <t>Planting</t>
  </si>
  <si>
    <t>33-0504</t>
  </si>
  <si>
    <t>Utility Relocations</t>
  </si>
  <si>
    <t>33-1000</t>
  </si>
  <si>
    <t>Water Utilities</t>
  </si>
  <si>
    <t>33-1413</t>
  </si>
  <si>
    <t>Public Water Utility Distrib</t>
  </si>
  <si>
    <t>33-3111</t>
  </si>
  <si>
    <t>Public Sanitary Sewerage</t>
  </si>
  <si>
    <t>33-3113</t>
  </si>
  <si>
    <t>Site Sanitary Sewerage</t>
  </si>
  <si>
    <t>33-3123</t>
  </si>
  <si>
    <t>Sanitary Sewerage Force Main</t>
  </si>
  <si>
    <t>33-3200</t>
  </si>
  <si>
    <t>Sanitary Sewerage Equip</t>
  </si>
  <si>
    <t>33-4000</t>
  </si>
  <si>
    <t>Stormwater Utilites</t>
  </si>
  <si>
    <t>33-4116</t>
  </si>
  <si>
    <t>Subsurface Drainage</t>
  </si>
  <si>
    <t>33-4200</t>
  </si>
  <si>
    <t>Stormwater Conveyance</t>
  </si>
  <si>
    <t>Stormwater Area Drains</t>
  </si>
  <si>
    <t>33-7119</t>
  </si>
  <si>
    <t>Elect Underground Ducts &amp; MHs</t>
  </si>
  <si>
    <t>34-1100</t>
  </si>
  <si>
    <t>Rail Tracks</t>
  </si>
  <si>
    <t>34-4100</t>
  </si>
  <si>
    <t>Road Signaling &amp; Control Equip</t>
  </si>
  <si>
    <t>34-7200</t>
  </si>
  <si>
    <t>Railway Construction</t>
  </si>
  <si>
    <t>50-1000</t>
  </si>
  <si>
    <t>Site Invest Rpt/Phase 1 Rpt</t>
  </si>
  <si>
    <t>50-1250</t>
  </si>
  <si>
    <t>Geotechnical Report</t>
  </si>
  <si>
    <t>50-2000</t>
  </si>
  <si>
    <t>50-2500</t>
  </si>
  <si>
    <t>Welands Studies</t>
  </si>
  <si>
    <t>50-3000</t>
  </si>
  <si>
    <t>Environmental Phase 2 Sudies</t>
  </si>
  <si>
    <t>50-3500</t>
  </si>
  <si>
    <t>Arch, Endged &amp; Threat Species</t>
  </si>
  <si>
    <t>50-4100</t>
  </si>
  <si>
    <t>Traffic Engineering Study</t>
  </si>
  <si>
    <t>50-4200</t>
  </si>
  <si>
    <t>Traffic Engineering Design</t>
  </si>
  <si>
    <t>50-4500</t>
  </si>
  <si>
    <t>Facility Engineering</t>
  </si>
  <si>
    <t>50-5000</t>
  </si>
  <si>
    <t>Structural Engineering</t>
  </si>
  <si>
    <t>50-5500</t>
  </si>
  <si>
    <t>HVAC Engineering</t>
  </si>
  <si>
    <t>50-6000</t>
  </si>
  <si>
    <t>Plumbing Engineering</t>
  </si>
  <si>
    <t>50-6500</t>
  </si>
  <si>
    <t>Electrical Engineering</t>
  </si>
  <si>
    <t>50-7000</t>
  </si>
  <si>
    <t>Fire Protection Enginerring</t>
  </si>
  <si>
    <t>50-7500</t>
  </si>
  <si>
    <t>FA/Security System Eng</t>
  </si>
  <si>
    <t>50-8000</t>
  </si>
  <si>
    <t>Specialty Engineering</t>
  </si>
  <si>
    <t>50-8500</t>
  </si>
  <si>
    <t>Miscellaneous Engineering</t>
  </si>
  <si>
    <t>50-9100</t>
  </si>
  <si>
    <t>ALTA Survey</t>
  </si>
  <si>
    <t>50-9200</t>
  </si>
  <si>
    <t>51-1000</t>
  </si>
  <si>
    <t>Space Planning</t>
  </si>
  <si>
    <t>Company</t>
  </si>
  <si>
    <t>Email Sent? Y/N</t>
  </si>
  <si>
    <t>Phone Call Follow Up? Y/N</t>
  </si>
  <si>
    <t>Bid Received? Y/N</t>
  </si>
  <si>
    <t>Email</t>
  </si>
  <si>
    <t>Cell</t>
  </si>
  <si>
    <t>Price</t>
  </si>
  <si>
    <t>Scope Includes?</t>
  </si>
  <si>
    <t>14 Conveying Equipment</t>
  </si>
  <si>
    <t>Yes</t>
  </si>
  <si>
    <t>No</t>
  </si>
  <si>
    <t>Intend to Submit Estimate? Y/N</t>
  </si>
  <si>
    <t>Example</t>
  </si>
  <si>
    <t>Division 13 Special Construction</t>
  </si>
  <si>
    <t>Division 14 Conveying Equipment</t>
  </si>
  <si>
    <t>Division 25 Integrated Automation</t>
  </si>
  <si>
    <t>Division 27 Communications</t>
  </si>
  <si>
    <t>Division 34 Transportation</t>
  </si>
  <si>
    <t>Division 35 Waterway and Marine Construction</t>
  </si>
  <si>
    <t>02-0000</t>
  </si>
  <si>
    <t>Existing Conditions</t>
  </si>
  <si>
    <t>Selective Site Demolition</t>
  </si>
  <si>
    <t>03-0000</t>
  </si>
  <si>
    <t>Concrete</t>
  </si>
  <si>
    <t>04-0000</t>
  </si>
  <si>
    <t>05-0000</t>
  </si>
  <si>
    <t>Metals</t>
  </si>
  <si>
    <t>06-0000</t>
  </si>
  <si>
    <t>Woods Plastics and Composites</t>
  </si>
  <si>
    <t>07-0000</t>
  </si>
  <si>
    <t>Thermal &amp; Moisture Protection</t>
  </si>
  <si>
    <t>08-0000</t>
  </si>
  <si>
    <t>Openings</t>
  </si>
  <si>
    <t>09-0000</t>
  </si>
  <si>
    <t>Finishes</t>
  </si>
  <si>
    <t>10-0000</t>
  </si>
  <si>
    <t>Specialties</t>
  </si>
  <si>
    <t>11-0000</t>
  </si>
  <si>
    <t>11-6000</t>
  </si>
  <si>
    <t>Entertainment and Recreation Equipment</t>
  </si>
  <si>
    <t>11-7000</t>
  </si>
  <si>
    <t>Healthcare Equipment</t>
  </si>
  <si>
    <t>12-0000</t>
  </si>
  <si>
    <t>Furnishings</t>
  </si>
  <si>
    <t>12-2100</t>
  </si>
  <si>
    <t>12-4813</t>
  </si>
  <si>
    <t>12-9000</t>
  </si>
  <si>
    <t>13-0000</t>
  </si>
  <si>
    <t>Special Construction</t>
  </si>
  <si>
    <t>14-0000</t>
  </si>
  <si>
    <t>Conveying Equipment</t>
  </si>
  <si>
    <t>21-0000</t>
  </si>
  <si>
    <t>Fire Suppression</t>
  </si>
  <si>
    <t>22-0000</t>
  </si>
  <si>
    <t>23-0000</t>
  </si>
  <si>
    <t>25-0000</t>
  </si>
  <si>
    <t>Integrated Automation</t>
  </si>
  <si>
    <t>26-0000</t>
  </si>
  <si>
    <t>27-0000</t>
  </si>
  <si>
    <t>Communications</t>
  </si>
  <si>
    <t>Structured Cabling</t>
  </si>
  <si>
    <t>Voice Communications</t>
  </si>
  <si>
    <t>Audio-Video Communications</t>
  </si>
  <si>
    <t>28-0000</t>
  </si>
  <si>
    <t>Electronic Safety and Security</t>
  </si>
  <si>
    <t>28-1000</t>
  </si>
  <si>
    <t>Electronic Surveillance</t>
  </si>
  <si>
    <t>Electronic Monitoring and Control</t>
  </si>
  <si>
    <t>31-0000</t>
  </si>
  <si>
    <t>Earthwork</t>
  </si>
  <si>
    <t>32-0000</t>
  </si>
  <si>
    <t>Exterior Improvements</t>
  </si>
  <si>
    <t>33-0000</t>
  </si>
  <si>
    <t>Utilities</t>
  </si>
  <si>
    <t>34-0000</t>
  </si>
  <si>
    <t>Transporation</t>
  </si>
  <si>
    <t>35-0000</t>
  </si>
  <si>
    <t>Waterway and Marine Construction</t>
  </si>
  <si>
    <t>35-3000</t>
  </si>
  <si>
    <t>Coastal Construction</t>
  </si>
  <si>
    <t>50-0000</t>
  </si>
  <si>
    <t>Design Services</t>
  </si>
  <si>
    <t>Subcontractor</t>
  </si>
  <si>
    <t>Notes</t>
  </si>
  <si>
    <t xml:space="preserve">Contingency </t>
  </si>
  <si>
    <t xml:space="preserve">Bid </t>
  </si>
  <si>
    <t>Allocation</t>
  </si>
  <si>
    <t xml:space="preserve">Wall &amp; Floor Cuts </t>
  </si>
  <si>
    <t>Plywood/Lumber Dock Openings</t>
  </si>
  <si>
    <t>TBD Temp Office Build Out</t>
  </si>
  <si>
    <t xml:space="preserve">Dock Door Seal </t>
  </si>
  <si>
    <t xml:space="preserve">TBD Temp Office Build Out </t>
  </si>
  <si>
    <t xml:space="preserve">Garage Doors </t>
  </si>
  <si>
    <t xml:space="preserve">TBD Office Door </t>
  </si>
  <si>
    <t>Epoxy Flooring</t>
  </si>
  <si>
    <t xml:space="preserve">TBD Office baseboard </t>
  </si>
  <si>
    <t xml:space="preserve">TBD Office wall paiting </t>
  </si>
  <si>
    <t>TBD Office build out</t>
  </si>
  <si>
    <t xml:space="preserve">TBD Frame &amp; Drywall Office build out </t>
  </si>
  <si>
    <t xml:space="preserve">Dock Door Locks </t>
  </si>
  <si>
    <t>Brandon Clymer</t>
  </si>
  <si>
    <t>Jesse Dawson</t>
  </si>
  <si>
    <t>bclymer@alleatogroup.com</t>
  </si>
  <si>
    <t>jdawson@alleatogroup.com</t>
  </si>
  <si>
    <t>317.760.0088</t>
  </si>
  <si>
    <t>502.612.2089</t>
  </si>
  <si>
    <t>The Alleato Group</t>
  </si>
  <si>
    <t>8383 Craig Street #150  .  Indianapolis, IN  .  46250</t>
  </si>
  <si>
    <t>701 94th Ave. N, Suite #118 St. Petersburg, FL 33702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</si>
</sst>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6" formatCode="&quot;$&quot;#,##0_);[Red]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164" formatCode="&quot;Bid Date: &quot;mm/dd/yy;@"/>
    <numFmt numFmtId="165" formatCode="&quot;$&quot;#,##0"/>
  </numFmts>
  <fonts count="2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1"/>
      <name val="Cambria"/>
      <family val="1"/>
      <scheme val="major"/>
    </font>
    <font>
      <sz val="11"/>
      <color theme="1"/>
      <name val="Cambria"/>
      <family val="1"/>
      <scheme val="major"/>
    </font>
    <font>
      <u/>
      <sz val="11"/>
      <color theme="10"/>
      <name val="Calibri"/>
      <family val="2"/>
      <scheme val="minor"/>
    </font>
    <font>
      <sz val="11"/>
      <color theme="1"/>
      <name val="Arial"/>
      <family val="2"/>
    </font>
    <font>
      <u/>
      <sz val="11"/>
      <color theme="10"/>
      <name val="Cambria"/>
      <family val="1"/>
      <scheme val="major"/>
    </font>
    <font>
      <b/>
      <sz val="9"/>
      <color theme="1"/>
      <name val="Cambria"/>
      <family val="1"/>
      <scheme val="major"/>
    </font>
    <font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sz val="14"/>
      <color theme="1"/>
      <name val="Arial"/>
      <family val="2"/>
    </font>
    <font>
      <sz val="12"/>
      <color theme="1"/>
      <name val="Arial"/>
      <family val="2"/>
    </font>
    <font>
      <b/>
      <sz val="14"/>
      <color theme="1"/>
      <name val="Arial"/>
      <family val="2"/>
    </font>
    <font>
      <b/>
      <sz val="16"/>
      <color theme="1"/>
      <name val="Arial"/>
      <family val="2"/>
    </font>
    <font>
      <b/>
      <u/>
      <sz val="11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name val="Calibri"/>
      <family val="2"/>
      <scheme val="minor"/>
    </font>
    <font>
      <sz val="9"/>
      <color rgb="FF0070C0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color theme="1"/>
      <name val="Cambria"/>
      <family val="1"/>
      <scheme val="major"/>
    </font>
    <font>
      <sz val="11"/>
      <name val="Arial"/>
      <family val="1"/>
    </font>
    <font>
      <b/>
      <u/>
      <sz val="11"/>
      <color theme="0"/>
      <name val="Calibri"/>
      <family val="2"/>
      <scheme val="minor"/>
    </font>
    <font>
      <b/>
      <sz val="11"/>
      <color rgb="FF000000"/>
      <name val="Calibri"/>
      <family val="2"/>
    </font>
    <font>
      <b/>
      <sz val="14"/>
      <color rgb="FF000000"/>
      <name val="Calibri"/>
      <family val="2"/>
    </font>
    <font>
      <sz val="14"/>
      <name val="Tahoma"/>
      <family val="2"/>
    </font>
    <font>
      <sz val="16"/>
      <color theme="1"/>
      <name val="Calibri"/>
      <family val="2"/>
      <scheme val="minor"/>
    </font>
    <font>
      <b/>
      <sz val="16"/>
      <color rgb="FF000000"/>
      <name val="Calibri"/>
      <family val="2"/>
    </font>
    <font>
      <sz val="20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00B050"/>
        <bgColor rgb="FF000000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rgb="FF000000"/>
      </patternFill>
    </fill>
  </fills>
  <borders count="36">
    <border>
      <left/>
      <right/>
      <top/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double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double">
        <color auto="1"/>
      </top>
      <bottom/>
      <diagonal/>
    </border>
    <border>
      <left/>
      <right style="medium">
        <color indexed="64"/>
      </right>
      <top style="double">
        <color auto="1"/>
      </top>
      <bottom/>
      <diagonal/>
    </border>
    <border>
      <left style="medium">
        <color indexed="64"/>
      </left>
      <right/>
      <top/>
      <bottom style="double">
        <color auto="1"/>
      </bottom>
      <diagonal/>
    </border>
    <border>
      <left/>
      <right style="medium">
        <color indexed="64"/>
      </right>
      <top/>
      <bottom style="double">
        <color auto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D0D7E5"/>
      </left>
      <right style="thin">
        <color rgb="FFD0D7E5"/>
      </right>
      <top style="thin">
        <color rgb="FFD0D7E5"/>
      </top>
      <bottom style="thin">
        <color rgb="FFD0D7E5"/>
      </bottom>
      <diagonal/>
    </border>
    <border>
      <left style="thin">
        <color rgb="FFD0D7E5"/>
      </left>
      <right/>
      <top style="thin">
        <color rgb="FFD0D7E5"/>
      </top>
      <bottom style="thin">
        <color rgb="FFD0D7E5"/>
      </bottom>
      <diagonal/>
    </border>
    <border>
      <left/>
      <right style="thin">
        <color rgb="FFD0D7E5"/>
      </right>
      <top style="thin">
        <color rgb="FFD0D7E5"/>
      </top>
      <bottom style="thin">
        <color rgb="FFD0D7E5"/>
      </bottom>
      <diagonal/>
    </border>
    <border>
      <left style="thin">
        <color rgb="FFD0D7E5"/>
      </left>
      <right/>
      <top/>
      <bottom/>
      <diagonal/>
    </border>
    <border>
      <left/>
      <right/>
      <top/>
      <bottom style="thin">
        <color indexed="64"/>
      </bottom>
      <diagonal/>
    </border>
  </borders>
  <cellStyleXfs count="8">
    <xf numFmtId="0" fontId="0" fillId="0" borderId="0"/>
    <xf numFmtId="0" fontId="2" fillId="0" borderId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  <xf numFmtId="44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21" fillId="0" borderId="0"/>
    <xf numFmtId="0" fontId="23" fillId="7" borderId="31" applyAlignment="0"/>
  </cellStyleXfs>
  <cellXfs count="202">
    <xf numFmtId="0" fontId="0" fillId="0" borderId="0" xfId="0"/>
    <xf numFmtId="0" fontId="0" fillId="0" borderId="16" xfId="0" applyBorder="1"/>
    <xf numFmtId="0" fontId="0" fillId="0" borderId="18" xfId="0" applyBorder="1"/>
    <xf numFmtId="165" fontId="0" fillId="0" borderId="18" xfId="0" applyNumberFormat="1" applyBorder="1"/>
    <xf numFmtId="0" fontId="0" fillId="0" borderId="20" xfId="0" applyBorder="1"/>
    <xf numFmtId="0" fontId="0" fillId="6" borderId="16" xfId="0" applyFill="1" applyBorder="1"/>
    <xf numFmtId="0" fontId="1" fillId="6" borderId="16" xfId="0" applyFont="1" applyFill="1" applyBorder="1"/>
    <xf numFmtId="0" fontId="22" fillId="4" borderId="0" xfId="0" applyFont="1" applyFill="1"/>
    <xf numFmtId="0" fontId="0" fillId="6" borderId="24" xfId="0" applyFill="1" applyBorder="1"/>
    <xf numFmtId="0" fontId="1" fillId="6" borderId="24" xfId="0" applyFont="1" applyFill="1" applyBorder="1"/>
    <xf numFmtId="0" fontId="16" fillId="6" borderId="24" xfId="0" applyFont="1" applyFill="1" applyBorder="1"/>
    <xf numFmtId="0" fontId="0" fillId="6" borderId="18" xfId="0" applyFill="1" applyBorder="1"/>
    <xf numFmtId="0" fontId="0" fillId="0" borderId="24" xfId="0" applyBorder="1"/>
    <xf numFmtId="0" fontId="1" fillId="0" borderId="24" xfId="0" applyFont="1" applyBorder="1"/>
    <xf numFmtId="0" fontId="16" fillId="0" borderId="24" xfId="0" applyFont="1" applyBorder="1"/>
    <xf numFmtId="0" fontId="0" fillId="0" borderId="25" xfId="0" applyBorder="1"/>
    <xf numFmtId="0" fontId="1" fillId="0" borderId="25" xfId="0" applyFont="1" applyBorder="1"/>
    <xf numFmtId="0" fontId="16" fillId="0" borderId="25" xfId="0" applyFont="1" applyBorder="1"/>
    <xf numFmtId="0" fontId="0" fillId="0" borderId="26" xfId="0" applyBorder="1"/>
    <xf numFmtId="0" fontId="16" fillId="6" borderId="18" xfId="0" applyFont="1" applyFill="1" applyBorder="1"/>
    <xf numFmtId="0" fontId="16" fillId="6" borderId="18" xfId="0" applyFont="1" applyFill="1" applyBorder="1" applyAlignment="1">
      <alignment horizontal="center"/>
    </xf>
    <xf numFmtId="165" fontId="0" fillId="6" borderId="18" xfId="0" applyNumberFormat="1" applyFill="1" applyBorder="1"/>
    <xf numFmtId="3" fontId="16" fillId="6" borderId="18" xfId="0" applyNumberFormat="1" applyFont="1" applyFill="1" applyBorder="1"/>
    <xf numFmtId="0" fontId="17" fillId="6" borderId="18" xfId="0" applyFont="1" applyFill="1" applyBorder="1"/>
    <xf numFmtId="44" fontId="18" fillId="6" borderId="24" xfId="4" applyFont="1" applyFill="1" applyBorder="1"/>
    <xf numFmtId="165" fontId="0" fillId="6" borderId="24" xfId="0" applyNumberFormat="1" applyFill="1" applyBorder="1"/>
    <xf numFmtId="0" fontId="17" fillId="6" borderId="24" xfId="0" applyFont="1" applyFill="1" applyBorder="1"/>
    <xf numFmtId="0" fontId="16" fillId="0" borderId="18" xfId="0" applyFont="1" applyBorder="1"/>
    <xf numFmtId="0" fontId="16" fillId="0" borderId="18" xfId="0" applyFont="1" applyBorder="1" applyAlignment="1">
      <alignment horizontal="center"/>
    </xf>
    <xf numFmtId="3" fontId="16" fillId="0" borderId="18" xfId="0" applyNumberFormat="1" applyFont="1" applyBorder="1"/>
    <xf numFmtId="0" fontId="17" fillId="0" borderId="18" xfId="0" applyFont="1" applyBorder="1"/>
    <xf numFmtId="44" fontId="18" fillId="0" borderId="24" xfId="4" applyFont="1" applyBorder="1"/>
    <xf numFmtId="165" fontId="0" fillId="0" borderId="24" xfId="0" applyNumberFormat="1" applyBorder="1"/>
    <xf numFmtId="0" fontId="17" fillId="0" borderId="24" xfId="0" applyFont="1" applyBorder="1"/>
    <xf numFmtId="0" fontId="16" fillId="0" borderId="26" xfId="0" applyFont="1" applyBorder="1"/>
    <xf numFmtId="0" fontId="16" fillId="0" borderId="26" xfId="0" applyFont="1" applyBorder="1" applyAlignment="1">
      <alignment horizontal="center"/>
    </xf>
    <xf numFmtId="165" fontId="0" fillId="0" borderId="26" xfId="0" applyNumberFormat="1" applyBorder="1"/>
    <xf numFmtId="3" fontId="16" fillId="0" borderId="26" xfId="0" applyNumberFormat="1" applyFont="1" applyBorder="1"/>
    <xf numFmtId="0" fontId="17" fillId="0" borderId="26" xfId="0" applyFont="1" applyBorder="1"/>
    <xf numFmtId="44" fontId="18" fillId="0" borderId="25" xfId="4" applyFont="1" applyBorder="1"/>
    <xf numFmtId="165" fontId="0" fillId="0" borderId="25" xfId="0" applyNumberFormat="1" applyBorder="1"/>
    <xf numFmtId="0" fontId="17" fillId="0" borderId="25" xfId="0" applyFont="1" applyBorder="1"/>
    <xf numFmtId="0" fontId="19" fillId="6" borderId="24" xfId="0" applyFont="1" applyFill="1" applyBorder="1"/>
    <xf numFmtId="0" fontId="0" fillId="6" borderId="24" xfId="0" applyFill="1" applyBorder="1" applyAlignment="1">
      <alignment horizontal="left" indent="1"/>
    </xf>
    <xf numFmtId="0" fontId="0" fillId="6" borderId="18" xfId="0" applyFill="1" applyBorder="1" applyAlignment="1">
      <alignment horizontal="left" indent="1"/>
    </xf>
    <xf numFmtId="0" fontId="19" fillId="0" borderId="24" xfId="0" applyFont="1" applyBorder="1"/>
    <xf numFmtId="0" fontId="0" fillId="0" borderId="24" xfId="0" applyBorder="1" applyAlignment="1">
      <alignment horizontal="left" indent="1"/>
    </xf>
    <xf numFmtId="0" fontId="0" fillId="0" borderId="18" xfId="0" applyBorder="1" applyAlignment="1">
      <alignment horizontal="left" indent="1"/>
    </xf>
    <xf numFmtId="0" fontId="19" fillId="0" borderId="25" xfId="0" applyFont="1" applyBorder="1"/>
    <xf numFmtId="0" fontId="0" fillId="0" borderId="25" xfId="0" applyBorder="1" applyAlignment="1">
      <alignment horizontal="left" indent="1"/>
    </xf>
    <xf numFmtId="0" fontId="0" fillId="0" borderId="26" xfId="0" applyBorder="1" applyAlignment="1">
      <alignment horizontal="left" indent="1"/>
    </xf>
    <xf numFmtId="0" fontId="0" fillId="0" borderId="27" xfId="0" applyBorder="1"/>
    <xf numFmtId="0" fontId="1" fillId="0" borderId="16" xfId="0" applyFont="1" applyBorder="1"/>
    <xf numFmtId="0" fontId="1" fillId="0" borderId="27" xfId="0" applyFont="1" applyBorder="1"/>
    <xf numFmtId="0" fontId="19" fillId="6" borderId="16" xfId="0" applyFont="1" applyFill="1" applyBorder="1"/>
    <xf numFmtId="0" fontId="19" fillId="0" borderId="16" xfId="0" applyFont="1" applyBorder="1"/>
    <xf numFmtId="0" fontId="19" fillId="0" borderId="27" xfId="0" applyFont="1" applyBorder="1"/>
    <xf numFmtId="0" fontId="0" fillId="0" borderId="29" xfId="0" applyBorder="1"/>
    <xf numFmtId="0" fontId="22" fillId="4" borderId="0" xfId="0" applyFont="1" applyFill="1" applyAlignment="1">
      <alignment horizontal="center" vertical="center"/>
    </xf>
    <xf numFmtId="0" fontId="22" fillId="4" borderId="15" xfId="0" applyFont="1" applyFill="1" applyBorder="1" applyAlignment="1">
      <alignment horizontal="center" vertical="center"/>
    </xf>
    <xf numFmtId="0" fontId="15" fillId="6" borderId="16" xfId="0" applyFont="1" applyFill="1" applyBorder="1"/>
    <xf numFmtId="0" fontId="15" fillId="0" borderId="16" xfId="0" applyFont="1" applyBorder="1"/>
    <xf numFmtId="0" fontId="15" fillId="0" borderId="27" xfId="0" applyFont="1" applyBorder="1"/>
    <xf numFmtId="0" fontId="16" fillId="6" borderId="16" xfId="0" applyFont="1" applyFill="1" applyBorder="1"/>
    <xf numFmtId="0" fontId="16" fillId="0" borderId="16" xfId="0" applyFont="1" applyBorder="1"/>
    <xf numFmtId="0" fontId="16" fillId="0" borderId="27" xfId="0" applyFont="1" applyBorder="1"/>
    <xf numFmtId="0" fontId="0" fillId="6" borderId="16" xfId="0" applyFill="1" applyBorder="1" applyAlignment="1">
      <alignment horizontal="left" indent="2"/>
    </xf>
    <xf numFmtId="0" fontId="0" fillId="0" borderId="16" xfId="0" applyBorder="1" applyAlignment="1">
      <alignment horizontal="left" indent="2"/>
    </xf>
    <xf numFmtId="0" fontId="0" fillId="0" borderId="27" xfId="0" applyBorder="1" applyAlignment="1">
      <alignment horizontal="left" indent="2"/>
    </xf>
    <xf numFmtId="0" fontId="0" fillId="6" borderId="16" xfId="0" applyFill="1" applyBorder="1" applyAlignment="1">
      <alignment horizontal="left" indent="1"/>
    </xf>
    <xf numFmtId="0" fontId="0" fillId="0" borderId="16" xfId="0" applyBorder="1" applyAlignment="1">
      <alignment horizontal="left" indent="1"/>
    </xf>
    <xf numFmtId="0" fontId="0" fillId="0" borderId="27" xfId="0" applyBorder="1" applyAlignment="1">
      <alignment horizontal="left" indent="1"/>
    </xf>
    <xf numFmtId="0" fontId="0" fillId="6" borderId="20" xfId="0" applyFill="1" applyBorder="1"/>
    <xf numFmtId="0" fontId="0" fillId="0" borderId="19" xfId="0" applyBorder="1"/>
    <xf numFmtId="0" fontId="16" fillId="6" borderId="20" xfId="0" applyFont="1" applyFill="1" applyBorder="1"/>
    <xf numFmtId="0" fontId="16" fillId="0" borderId="20" xfId="0" applyFont="1" applyBorder="1"/>
    <xf numFmtId="0" fontId="16" fillId="0" borderId="19" xfId="0" applyFont="1" applyBorder="1"/>
    <xf numFmtId="0" fontId="0" fillId="6" borderId="20" xfId="0" applyFill="1" applyBorder="1" applyAlignment="1">
      <alignment horizontal="left" indent="1"/>
    </xf>
    <xf numFmtId="0" fontId="0" fillId="0" borderId="20" xfId="0" applyBorder="1" applyAlignment="1">
      <alignment horizontal="left" indent="1"/>
    </xf>
    <xf numFmtId="0" fontId="0" fillId="0" borderId="19" xfId="0" applyBorder="1" applyAlignment="1">
      <alignment horizontal="left" indent="1"/>
    </xf>
    <xf numFmtId="0" fontId="1" fillId="6" borderId="17" xfId="0" applyFont="1" applyFill="1" applyBorder="1"/>
    <xf numFmtId="0" fontId="0" fillId="0" borderId="30" xfId="0" applyBorder="1"/>
    <xf numFmtId="0" fontId="22" fillId="4" borderId="15" xfId="0" applyFont="1" applyFill="1" applyBorder="1"/>
    <xf numFmtId="0" fontId="1" fillId="6" borderId="28" xfId="0" applyFont="1" applyFill="1" applyBorder="1"/>
    <xf numFmtId="0" fontId="1" fillId="3" borderId="16" xfId="0" applyFont="1" applyFill="1" applyBorder="1"/>
    <xf numFmtId="0" fontId="1" fillId="3" borderId="24" xfId="0" applyFont="1" applyFill="1" applyBorder="1"/>
    <xf numFmtId="0" fontId="0" fillId="0" borderId="0" xfId="0" applyProtection="1">
      <protection locked="0"/>
    </xf>
    <xf numFmtId="44" fontId="0" fillId="0" borderId="0" xfId="4" applyFont="1" applyProtection="1">
      <protection locked="0"/>
    </xf>
    <xf numFmtId="49" fontId="24" fillId="7" borderId="31" xfId="7" applyNumberFormat="1" applyFont="1" applyProtection="1">
      <protection locked="0"/>
    </xf>
    <xf numFmtId="0" fontId="25" fillId="0" borderId="0" xfId="0" applyFont="1" applyProtection="1">
      <protection locked="0"/>
    </xf>
    <xf numFmtId="49" fontId="23" fillId="7" borderId="31" xfId="7" applyNumberFormat="1" applyProtection="1">
      <protection locked="0"/>
    </xf>
    <xf numFmtId="0" fontId="23" fillId="7" borderId="31" xfId="7" applyProtection="1">
      <protection locked="0"/>
    </xf>
    <xf numFmtId="0" fontId="0" fillId="9" borderId="0" xfId="0" applyFill="1" applyProtection="1">
      <protection locked="0"/>
    </xf>
    <xf numFmtId="49" fontId="23" fillId="7" borderId="31" xfId="7" quotePrefix="1" applyNumberFormat="1" applyProtection="1">
      <protection locked="0"/>
    </xf>
    <xf numFmtId="49" fontId="24" fillId="7" borderId="31" xfId="7" quotePrefix="1" applyNumberFormat="1" applyFont="1" applyProtection="1">
      <protection locked="0"/>
    </xf>
    <xf numFmtId="17" fontId="0" fillId="0" borderId="0" xfId="0" applyNumberFormat="1" applyProtection="1">
      <protection locked="0"/>
    </xf>
    <xf numFmtId="44" fontId="0" fillId="9" borderId="0" xfId="4" applyFont="1" applyFill="1" applyProtection="1"/>
    <xf numFmtId="49" fontId="23" fillId="10" borderId="32" xfId="7" applyNumberFormat="1" applyFill="1" applyBorder="1" applyAlignment="1" applyProtection="1">
      <alignment horizontal="center"/>
      <protection locked="0"/>
    </xf>
    <xf numFmtId="49" fontId="23" fillId="10" borderId="33" xfId="7" applyNumberFormat="1" applyFill="1" applyBorder="1" applyAlignment="1" applyProtection="1">
      <alignment horizontal="center"/>
      <protection locked="0"/>
    </xf>
    <xf numFmtId="0" fontId="0" fillId="3" borderId="0" xfId="0" applyFill="1" applyProtection="1">
      <protection locked="0"/>
    </xf>
    <xf numFmtId="0" fontId="0" fillId="0" borderId="0" xfId="0" applyAlignment="1" applyProtection="1">
      <alignment horizontal="center"/>
      <protection locked="0"/>
    </xf>
    <xf numFmtId="9" fontId="26" fillId="0" borderId="0" xfId="0" applyNumberFormat="1" applyFont="1" applyProtection="1">
      <protection locked="0"/>
    </xf>
    <xf numFmtId="0" fontId="26" fillId="0" borderId="0" xfId="0" applyFont="1" applyProtection="1">
      <protection locked="0"/>
    </xf>
    <xf numFmtId="10" fontId="26" fillId="0" borderId="0" xfId="0" applyNumberFormat="1" applyFont="1" applyProtection="1">
      <protection locked="0"/>
    </xf>
    <xf numFmtId="0" fontId="26" fillId="2" borderId="0" xfId="0" applyFont="1" applyFill="1" applyProtection="1">
      <protection locked="0"/>
    </xf>
    <xf numFmtId="44" fontId="26" fillId="2" borderId="0" xfId="4" applyFont="1" applyFill="1" applyProtection="1"/>
    <xf numFmtId="44" fontId="26" fillId="0" borderId="0" xfId="4" applyFont="1" applyProtection="1"/>
    <xf numFmtId="44" fontId="0" fillId="0" borderId="0" xfId="4" applyFont="1" applyAlignment="1" applyProtection="1">
      <alignment horizontal="center"/>
      <protection locked="0"/>
    </xf>
    <xf numFmtId="0" fontId="24" fillId="7" borderId="0" xfId="7" applyFont="1" applyBorder="1" applyAlignment="1" applyProtection="1">
      <protection locked="0"/>
    </xf>
    <xf numFmtId="0" fontId="28" fillId="0" borderId="0" xfId="0" applyFont="1" applyProtection="1">
      <protection locked="0"/>
    </xf>
    <xf numFmtId="44" fontId="28" fillId="0" borderId="0" xfId="4" applyFont="1" applyProtection="1">
      <protection locked="0"/>
    </xf>
    <xf numFmtId="44" fontId="10" fillId="3" borderId="0" xfId="4" applyFont="1" applyFill="1" applyAlignment="1" applyProtection="1">
      <alignment horizontal="center"/>
    </xf>
    <xf numFmtId="0" fontId="0" fillId="0" borderId="0" xfId="0" applyAlignment="1" applyProtection="1">
      <alignment horizontal="left" vertical="top"/>
      <protection locked="0"/>
    </xf>
    <xf numFmtId="0" fontId="4" fillId="0" borderId="22" xfId="0" applyFont="1" applyBorder="1" applyProtection="1">
      <protection locked="0"/>
    </xf>
    <xf numFmtId="0" fontId="4" fillId="0" borderId="23" xfId="0" applyFont="1" applyBorder="1" applyProtection="1">
      <protection locked="0"/>
    </xf>
    <xf numFmtId="0" fontId="3" fillId="0" borderId="10" xfId="0" applyFont="1" applyBorder="1" applyAlignment="1" applyProtection="1">
      <alignment horizontal="center"/>
      <protection locked="0"/>
    </xf>
    <xf numFmtId="44" fontId="3" fillId="0" borderId="2" xfId="4" applyFont="1" applyBorder="1" applyAlignment="1" applyProtection="1">
      <alignment horizontal="center"/>
      <protection locked="0"/>
    </xf>
    <xf numFmtId="0" fontId="5" fillId="0" borderId="2" xfId="3" applyBorder="1" applyAlignment="1" applyProtection="1">
      <alignment horizontal="center"/>
      <protection locked="0"/>
    </xf>
    <xf numFmtId="0" fontId="8" fillId="0" borderId="11" xfId="0" applyFont="1" applyBorder="1" applyAlignment="1" applyProtection="1">
      <alignment horizontal="center"/>
      <protection locked="0"/>
    </xf>
    <xf numFmtId="0" fontId="3" fillId="0" borderId="6" xfId="0" applyFont="1" applyBorder="1" applyAlignment="1" applyProtection="1">
      <alignment horizontal="center"/>
      <protection locked="0"/>
    </xf>
    <xf numFmtId="44" fontId="3" fillId="0" borderId="0" xfId="4" applyFont="1" applyBorder="1" applyAlignment="1" applyProtection="1">
      <alignment horizontal="center"/>
      <protection locked="0"/>
    </xf>
    <xf numFmtId="0" fontId="7" fillId="0" borderId="0" xfId="3" applyFont="1" applyBorder="1" applyProtection="1">
      <protection locked="0"/>
    </xf>
    <xf numFmtId="0" fontId="3" fillId="0" borderId="7" xfId="0" applyFont="1" applyBorder="1" applyAlignment="1" applyProtection="1">
      <alignment horizontal="center"/>
      <protection locked="0"/>
    </xf>
    <xf numFmtId="0" fontId="3" fillId="0" borderId="6" xfId="0" applyFont="1" applyBorder="1" applyAlignment="1" applyProtection="1">
      <alignment horizontal="left"/>
      <protection locked="0"/>
    </xf>
    <xf numFmtId="0" fontId="0" fillId="0" borderId="6" xfId="0" applyBorder="1" applyAlignment="1" applyProtection="1">
      <alignment horizontal="center"/>
      <protection locked="0"/>
    </xf>
    <xf numFmtId="44" fontId="0" fillId="0" borderId="0" xfId="4" applyFont="1" applyBorder="1" applyAlignment="1" applyProtection="1">
      <alignment horizontal="center"/>
      <protection locked="0"/>
    </xf>
    <xf numFmtId="0" fontId="0" fillId="0" borderId="7" xfId="0" applyBorder="1" applyProtection="1">
      <protection locked="0"/>
    </xf>
    <xf numFmtId="0" fontId="12" fillId="0" borderId="6" xfId="0" applyFont="1" applyBorder="1" applyAlignment="1" applyProtection="1">
      <alignment horizontal="center"/>
      <protection locked="0"/>
    </xf>
    <xf numFmtId="0" fontId="6" fillId="0" borderId="0" xfId="0" applyFont="1" applyProtection="1">
      <protection locked="0"/>
    </xf>
    <xf numFmtId="0" fontId="6" fillId="0" borderId="7" xfId="0" applyFont="1" applyBorder="1" applyProtection="1">
      <protection locked="0"/>
    </xf>
    <xf numFmtId="44" fontId="12" fillId="0" borderId="0" xfId="4" applyFont="1" applyBorder="1" applyAlignment="1" applyProtection="1">
      <protection locked="0"/>
    </xf>
    <xf numFmtId="44" fontId="6" fillId="0" borderId="0" xfId="4" applyFont="1" applyBorder="1" applyAlignment="1" applyProtection="1">
      <protection locked="0"/>
    </xf>
    <xf numFmtId="0" fontId="6" fillId="0" borderId="6" xfId="0" applyFont="1" applyBorder="1" applyAlignment="1" applyProtection="1">
      <alignment horizontal="center"/>
      <protection locked="0"/>
    </xf>
    <xf numFmtId="0" fontId="6" fillId="0" borderId="0" xfId="0" applyFont="1" applyAlignment="1" applyProtection="1">
      <alignment horizontal="center"/>
      <protection locked="0"/>
    </xf>
    <xf numFmtId="9" fontId="0" fillId="0" borderId="0" xfId="5" applyFont="1" applyAlignment="1" applyProtection="1">
      <alignment horizontal="left" vertical="top"/>
      <protection locked="0"/>
    </xf>
    <xf numFmtId="44" fontId="0" fillId="0" borderId="0" xfId="0" applyNumberFormat="1" applyProtection="1">
      <protection locked="0"/>
    </xf>
    <xf numFmtId="0" fontId="11" fillId="2" borderId="12" xfId="0" applyFont="1" applyFill="1" applyBorder="1" applyAlignment="1" applyProtection="1">
      <alignment horizontal="center"/>
      <protection locked="0"/>
    </xf>
    <xf numFmtId="0" fontId="6" fillId="0" borderId="13" xfId="0" applyFont="1" applyBorder="1" applyProtection="1">
      <protection locked="0"/>
    </xf>
    <xf numFmtId="0" fontId="6" fillId="0" borderId="14" xfId="0" applyFont="1" applyBorder="1" applyProtection="1">
      <protection locked="0"/>
    </xf>
    <xf numFmtId="44" fontId="6" fillId="0" borderId="0" xfId="4" applyFont="1" applyAlignment="1" applyProtection="1">
      <alignment horizontal="center"/>
      <protection locked="0"/>
    </xf>
    <xf numFmtId="0" fontId="14" fillId="0" borderId="3" xfId="0" applyFont="1" applyBorder="1" applyAlignment="1" applyProtection="1">
      <alignment horizontal="center"/>
      <protection locked="0"/>
    </xf>
    <xf numFmtId="44" fontId="6" fillId="0" borderId="4" xfId="4" applyFont="1" applyBorder="1" applyAlignment="1" applyProtection="1">
      <alignment horizontal="center"/>
      <protection locked="0"/>
    </xf>
    <xf numFmtId="0" fontId="6" fillId="0" borderId="4" xfId="0" applyFont="1" applyBorder="1" applyProtection="1">
      <protection locked="0"/>
    </xf>
    <xf numFmtId="0" fontId="6" fillId="0" borderId="5" xfId="0" applyFont="1" applyBorder="1" applyProtection="1">
      <protection locked="0"/>
    </xf>
    <xf numFmtId="0" fontId="6" fillId="0" borderId="12" xfId="0" applyFont="1" applyBorder="1" applyAlignment="1" applyProtection="1">
      <alignment horizontal="center"/>
      <protection locked="0"/>
    </xf>
    <xf numFmtId="44" fontId="6" fillId="0" borderId="13" xfId="4" applyFont="1" applyBorder="1" applyAlignment="1" applyProtection="1">
      <alignment horizontal="center"/>
      <protection locked="0"/>
    </xf>
    <xf numFmtId="44" fontId="10" fillId="0" borderId="0" xfId="4" applyFont="1" applyBorder="1" applyAlignment="1" applyProtection="1">
      <alignment horizontal="center"/>
    </xf>
    <xf numFmtId="44" fontId="13" fillId="2" borderId="13" xfId="4" applyFont="1" applyFill="1" applyBorder="1" applyAlignment="1" applyProtection="1">
      <alignment horizontal="center"/>
    </xf>
    <xf numFmtId="44" fontId="0" fillId="3" borderId="0" xfId="4" applyFont="1" applyFill="1" applyProtection="1"/>
    <xf numFmtId="44" fontId="26" fillId="9" borderId="0" xfId="0" applyNumberFormat="1" applyFont="1" applyFill="1"/>
    <xf numFmtId="44" fontId="0" fillId="0" borderId="0" xfId="4" applyFont="1" applyProtection="1"/>
    <xf numFmtId="0" fontId="0" fillId="5" borderId="0" xfId="0" applyFill="1" applyProtection="1">
      <protection locked="0"/>
    </xf>
    <xf numFmtId="44" fontId="10" fillId="0" borderId="0" xfId="0" applyNumberFormat="1" applyFont="1" applyAlignment="1">
      <alignment horizontal="center"/>
    </xf>
    <xf numFmtId="1" fontId="0" fillId="0" borderId="0" xfId="0" applyNumberFormat="1" applyAlignment="1" applyProtection="1">
      <alignment horizontal="right"/>
      <protection locked="0"/>
    </xf>
    <xf numFmtId="2" fontId="0" fillId="0" borderId="0" xfId="4" applyNumberFormat="1" applyFont="1" applyProtection="1">
      <protection locked="0"/>
    </xf>
    <xf numFmtId="0" fontId="0" fillId="0" borderId="0" xfId="0" applyAlignment="1" applyProtection="1">
      <alignment horizontal="right"/>
      <protection locked="0"/>
    </xf>
    <xf numFmtId="49" fontId="0" fillId="0" borderId="0" xfId="0" applyNumberFormat="1" applyAlignment="1" applyProtection="1">
      <alignment horizontal="right"/>
      <protection locked="0"/>
    </xf>
    <xf numFmtId="44" fontId="0" fillId="0" borderId="0" xfId="0" applyNumberFormat="1"/>
    <xf numFmtId="6" fontId="0" fillId="0" borderId="0" xfId="4" applyNumberFormat="1" applyFont="1" applyProtection="1">
      <protection locked="0"/>
    </xf>
    <xf numFmtId="8" fontId="0" fillId="0" borderId="0" xfId="4" applyNumberFormat="1" applyFont="1" applyProtection="1">
      <protection locked="0"/>
    </xf>
    <xf numFmtId="0" fontId="5" fillId="0" borderId="16" xfId="3" applyBorder="1"/>
    <xf numFmtId="8" fontId="0" fillId="0" borderId="16" xfId="0" applyNumberFormat="1" applyBorder="1" applyAlignment="1">
      <alignment horizontal="left" indent="1"/>
    </xf>
    <xf numFmtId="6" fontId="0" fillId="0" borderId="16" xfId="0" applyNumberFormat="1" applyBorder="1" applyAlignment="1">
      <alignment horizontal="left" indent="1"/>
    </xf>
    <xf numFmtId="44" fontId="6" fillId="0" borderId="0" xfId="4" applyFont="1" applyBorder="1" applyAlignment="1" applyProtection="1">
      <alignment horizontal="center"/>
      <protection locked="0"/>
    </xf>
    <xf numFmtId="0" fontId="4" fillId="0" borderId="10" xfId="0" applyFont="1" applyBorder="1" applyAlignment="1" applyProtection="1">
      <alignment horizontal="center"/>
      <protection locked="0"/>
    </xf>
    <xf numFmtId="0" fontId="4" fillId="0" borderId="2" xfId="0" applyFont="1" applyBorder="1" applyProtection="1">
      <protection locked="0"/>
    </xf>
    <xf numFmtId="0" fontId="4" fillId="0" borderId="11" xfId="0" applyFont="1" applyBorder="1" applyProtection="1">
      <protection locked="0"/>
    </xf>
    <xf numFmtId="0" fontId="4" fillId="0" borderId="6" xfId="0" applyFont="1" applyBorder="1" applyAlignment="1" applyProtection="1">
      <alignment horizontal="center"/>
      <protection locked="0"/>
    </xf>
    <xf numFmtId="0" fontId="4" fillId="0" borderId="7" xfId="0" applyFont="1" applyBorder="1" applyAlignment="1" applyProtection="1">
      <alignment horizontal="center"/>
      <protection locked="0"/>
    </xf>
    <xf numFmtId="1" fontId="0" fillId="0" borderId="0" xfId="0" applyNumberFormat="1" applyProtection="1">
      <protection locked="0"/>
    </xf>
    <xf numFmtId="0" fontId="0" fillId="0" borderId="0" xfId="0" applyAlignment="1" applyProtection="1">
      <alignment horizontal="center"/>
      <protection locked="0"/>
    </xf>
    <xf numFmtId="1" fontId="0" fillId="0" borderId="0" xfId="0" applyNumberFormat="1" applyAlignment="1" applyProtection="1">
      <alignment horizontal="center"/>
      <protection locked="0"/>
    </xf>
    <xf numFmtId="0" fontId="11" fillId="0" borderId="6" xfId="0" applyFont="1" applyBorder="1" applyAlignment="1" applyProtection="1">
      <alignment horizontal="center"/>
      <protection locked="0"/>
    </xf>
    <xf numFmtId="0" fontId="11" fillId="0" borderId="0" xfId="0" applyFont="1" applyAlignment="1" applyProtection="1">
      <alignment horizontal="center"/>
      <protection locked="0"/>
    </xf>
    <xf numFmtId="0" fontId="11" fillId="0" borderId="7" xfId="0" applyFont="1" applyBorder="1" applyAlignment="1" applyProtection="1">
      <alignment horizontal="center"/>
      <protection locked="0"/>
    </xf>
    <xf numFmtId="0" fontId="0" fillId="0" borderId="3" xfId="0" applyBorder="1" applyAlignment="1" applyProtection="1">
      <alignment horizontal="center"/>
      <protection locked="0"/>
    </xf>
    <xf numFmtId="0" fontId="0" fillId="0" borderId="4" xfId="0" applyBorder="1" applyProtection="1">
      <protection locked="0"/>
    </xf>
    <xf numFmtId="0" fontId="0" fillId="0" borderId="5" xfId="0" applyBorder="1" applyProtection="1">
      <protection locked="0"/>
    </xf>
    <xf numFmtId="0" fontId="20" fillId="0" borderId="6" xfId="0" applyFont="1" applyBorder="1" applyAlignment="1" applyProtection="1">
      <alignment horizontal="left"/>
      <protection locked="0"/>
    </xf>
    <xf numFmtId="0" fontId="20" fillId="0" borderId="0" xfId="0" applyFont="1" applyAlignment="1" applyProtection="1">
      <alignment horizontal="left"/>
      <protection locked="0"/>
    </xf>
    <xf numFmtId="164" fontId="1" fillId="0" borderId="2" xfId="0" applyNumberFormat="1" applyFont="1" applyBorder="1" applyAlignment="1" applyProtection="1">
      <alignment horizontal="center"/>
      <protection locked="0"/>
    </xf>
    <xf numFmtId="164" fontId="1" fillId="0" borderId="11" xfId="0" applyNumberFormat="1" applyFont="1" applyBorder="1" applyAlignment="1" applyProtection="1">
      <alignment horizontal="center"/>
      <protection locked="0"/>
    </xf>
    <xf numFmtId="0" fontId="3" fillId="0" borderId="8" xfId="0" applyFont="1" applyBorder="1" applyAlignment="1" applyProtection="1">
      <alignment horizontal="center"/>
      <protection locked="0"/>
    </xf>
    <xf numFmtId="0" fontId="3" fillId="0" borderId="1" xfId="0" applyFont="1" applyBorder="1" applyAlignment="1" applyProtection="1">
      <alignment horizontal="center"/>
      <protection locked="0"/>
    </xf>
    <xf numFmtId="0" fontId="3" fillId="0" borderId="9" xfId="0" applyFont="1" applyBorder="1" applyAlignment="1" applyProtection="1">
      <alignment horizontal="center"/>
      <protection locked="0"/>
    </xf>
    <xf numFmtId="0" fontId="4" fillId="0" borderId="21" xfId="0" applyFont="1" applyBorder="1" applyAlignment="1" applyProtection="1">
      <alignment horizontal="center"/>
      <protection locked="0"/>
    </xf>
    <xf numFmtId="0" fontId="4" fillId="0" borderId="22" xfId="0" applyFont="1" applyBorder="1" applyProtection="1">
      <protection locked="0"/>
    </xf>
    <xf numFmtId="0" fontId="4" fillId="0" borderId="0" xfId="0" applyFont="1" applyAlignment="1" applyProtection="1">
      <alignment horizontal="left"/>
      <protection locked="0"/>
    </xf>
    <xf numFmtId="0" fontId="4" fillId="0" borderId="7" xfId="0" applyFont="1" applyBorder="1" applyAlignment="1" applyProtection="1">
      <alignment horizontal="left"/>
      <protection locked="0"/>
    </xf>
    <xf numFmtId="0" fontId="11" fillId="3" borderId="6" xfId="0" applyFont="1" applyFill="1" applyBorder="1" applyAlignment="1" applyProtection="1">
      <alignment horizontal="center"/>
      <protection locked="0"/>
    </xf>
    <xf numFmtId="0" fontId="11" fillId="3" borderId="0" xfId="0" applyFont="1" applyFill="1" applyAlignment="1" applyProtection="1">
      <alignment horizontal="center"/>
      <protection locked="0"/>
    </xf>
    <xf numFmtId="0" fontId="11" fillId="3" borderId="7" xfId="0" applyFont="1" applyFill="1" applyBorder="1" applyAlignment="1" applyProtection="1">
      <alignment horizontal="center"/>
      <protection locked="0"/>
    </xf>
    <xf numFmtId="0" fontId="4" fillId="0" borderId="0" xfId="0" applyFont="1" applyAlignment="1" applyProtection="1">
      <alignment horizontal="center"/>
      <protection locked="0"/>
    </xf>
    <xf numFmtId="0" fontId="4" fillId="0" borderId="35" xfId="0" applyFont="1" applyBorder="1" applyAlignment="1" applyProtection="1">
      <alignment horizontal="center"/>
      <protection locked="0"/>
    </xf>
    <xf numFmtId="49" fontId="23" fillId="8" borderId="32" xfId="7" applyNumberFormat="1" applyFill="1" applyBorder="1" applyAlignment="1" applyProtection="1">
      <alignment horizontal="center"/>
      <protection locked="0"/>
    </xf>
    <xf numFmtId="49" fontId="23" fillId="8" borderId="33" xfId="7" applyNumberFormat="1" applyFill="1" applyBorder="1" applyAlignment="1" applyProtection="1">
      <alignment horizontal="center"/>
      <protection locked="0"/>
    </xf>
    <xf numFmtId="0" fontId="24" fillId="7" borderId="34" xfId="7" applyFont="1" applyBorder="1" applyAlignment="1" applyProtection="1">
      <alignment horizontal="center"/>
      <protection locked="0"/>
    </xf>
    <xf numFmtId="0" fontId="24" fillId="7" borderId="0" xfId="7" applyFont="1" applyBorder="1" applyAlignment="1" applyProtection="1">
      <alignment horizontal="center"/>
      <protection locked="0"/>
    </xf>
    <xf numFmtId="0" fontId="26" fillId="0" borderId="0" xfId="0" applyFont="1" applyAlignment="1" applyProtection="1">
      <alignment horizontal="center"/>
      <protection locked="0"/>
    </xf>
    <xf numFmtId="0" fontId="26" fillId="2" borderId="0" xfId="0" applyFont="1" applyFill="1" applyAlignment="1" applyProtection="1">
      <alignment horizontal="center"/>
      <protection locked="0"/>
    </xf>
    <xf numFmtId="49" fontId="27" fillId="8" borderId="32" xfId="7" applyNumberFormat="1" applyFont="1" applyFill="1" applyBorder="1" applyAlignment="1" applyProtection="1">
      <alignment horizontal="center"/>
      <protection locked="0"/>
    </xf>
    <xf numFmtId="49" fontId="27" fillId="8" borderId="33" xfId="7" applyNumberFormat="1" applyFont="1" applyFill="1" applyBorder="1" applyAlignment="1" applyProtection="1">
      <alignment horizontal="center"/>
      <protection locked="0"/>
    </xf>
  </cellXfs>
  <cellStyles count="8">
    <cellStyle name="Currency" xfId="4" builtinId="4"/>
    <cellStyle name="Currency 2" xfId="2" xr:uid="{00000000-0005-0000-0000-000001000000}"/>
    <cellStyle name="Hyperlink" xfId="3" builtinId="8"/>
    <cellStyle name="Normal" xfId="0" builtinId="0"/>
    <cellStyle name="Normal 2" xfId="1" xr:uid="{00000000-0005-0000-0000-000005000000}"/>
    <cellStyle name="Normal 3" xfId="6" xr:uid="{00000000-0005-0000-0000-000006000000}"/>
    <cellStyle name="Percent" xfId="5" builtinId="5"/>
    <cellStyle name="Style 1" xfId="7" xr:uid="{C36FABB1-F928-4631-97C9-15C30AB788C2}"/>
  </cellStyles>
  <dxfs count="6"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574285</xdr:colOff>
      <xdr:row>0</xdr:row>
      <xdr:rowOff>71782</xdr:rowOff>
    </xdr:from>
    <xdr:to>
      <xdr:col>2</xdr:col>
      <xdr:colOff>1830008</xdr:colOff>
      <xdr:row>0</xdr:row>
      <xdr:rowOff>1087783</xdr:rowOff>
    </xdr:to>
    <xdr:pic>
      <xdr:nvPicPr>
        <xdr:cNvPr id="2" name="Picture 1" descr="A picture containing text, clipart, sign&#10;&#10;Description automatically generated">
          <a:extLst>
            <a:ext uri="{FF2B5EF4-FFF2-40B4-BE49-F238E27FC236}">
              <a16:creationId xmlns:a16="http://schemas.microsoft.com/office/drawing/2014/main" id="{27AC8880-B252-43BD-B8DC-0DDD6B9C8AC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36385" y="69877"/>
          <a:ext cx="3741748" cy="10140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mailto:jdawson@alleatogroup.com" TargetMode="External"/><Relationship Id="rId1" Type="http://schemas.openxmlformats.org/officeDocument/2006/relationships/hyperlink" Target="mailto:bclymer@alleatogroup.com" TargetMode="Externa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I182"/>
  <sheetViews>
    <sheetView tabSelected="1" zoomScale="90" zoomScaleNormal="90" workbookViewId="0">
      <selection activeCell="G10" sqref="G10"/>
    </sheetView>
  </sheetViews>
  <sheetFormatPr defaultColWidth="8.85546875" defaultRowHeight="15" x14ac:dyDescent="0.25"/>
  <cols>
    <col min="1" max="1" width="22.85546875" style="100" bestFit="1" customWidth="1"/>
    <col min="2" max="2" width="36.140625" style="107" customWidth="1"/>
    <col min="3" max="3" width="49.140625" style="86" customWidth="1"/>
    <col min="4" max="4" width="14.42578125" style="86" customWidth="1"/>
    <col min="5" max="5" width="9.5703125" style="86" bestFit="1" customWidth="1"/>
    <col min="6" max="6" width="7.42578125" style="86" customWidth="1"/>
    <col min="7" max="7" width="8.85546875" style="112"/>
    <col min="8" max="8" width="16.140625" style="86" bestFit="1" customWidth="1"/>
    <col min="9" max="9" width="11.5703125" style="86" customWidth="1"/>
    <col min="10" max="16384" width="8.85546875" style="86"/>
  </cols>
  <sheetData>
    <row r="1" spans="1:4" ht="93.75" customHeight="1" x14ac:dyDescent="0.25">
      <c r="A1" s="175"/>
      <c r="B1" s="176"/>
      <c r="C1" s="176"/>
      <c r="D1" s="177"/>
    </row>
    <row r="2" spans="1:4" ht="18.75" thickBot="1" x14ac:dyDescent="0.3">
      <c r="A2" s="178"/>
      <c r="B2" s="179"/>
      <c r="C2" s="180"/>
      <c r="D2" s="181"/>
    </row>
    <row r="3" spans="1:4" ht="19.5" customHeight="1" thickTop="1" x14ac:dyDescent="0.25">
      <c r="A3" s="182" t="s">
        <v>678</v>
      </c>
      <c r="B3" s="183"/>
      <c r="C3" s="183"/>
      <c r="D3" s="184"/>
    </row>
    <row r="4" spans="1:4" ht="19.5" customHeight="1" x14ac:dyDescent="0.25">
      <c r="A4" s="167"/>
      <c r="B4" s="192" t="s">
        <v>679</v>
      </c>
      <c r="C4" s="192"/>
      <c r="D4" s="168"/>
    </row>
    <row r="5" spans="1:4" ht="19.350000000000001" customHeight="1" x14ac:dyDescent="0.25">
      <c r="A5" s="167"/>
      <c r="B5" s="193" t="s">
        <v>680</v>
      </c>
      <c r="C5" s="193"/>
      <c r="D5" s="168"/>
    </row>
    <row r="6" spans="1:4" ht="10.5" customHeight="1" thickBot="1" x14ac:dyDescent="0.3">
      <c r="A6" s="185"/>
      <c r="B6" s="186"/>
      <c r="C6" s="113"/>
      <c r="D6" s="114"/>
    </row>
    <row r="7" spans="1:4" ht="16.5" thickTop="1" thickBot="1" x14ac:dyDescent="0.3">
      <c r="A7" s="164"/>
      <c r="B7" s="165"/>
      <c r="C7" s="165"/>
      <c r="D7" s="166"/>
    </row>
    <row r="8" spans="1:4" ht="16.5" thickTop="1" thickBot="1" x14ac:dyDescent="0.3">
      <c r="A8" s="164"/>
      <c r="B8" s="165"/>
      <c r="C8" s="165"/>
      <c r="D8" s="166"/>
    </row>
    <row r="9" spans="1:4" ht="16.5" thickTop="1" thickBot="1" x14ac:dyDescent="0.3">
      <c r="A9" s="115" t="s">
        <v>0</v>
      </c>
      <c r="B9" s="116" t="s">
        <v>672</v>
      </c>
      <c r="C9" s="117" t="s">
        <v>674</v>
      </c>
      <c r="D9" s="118" t="s">
        <v>676</v>
      </c>
    </row>
    <row r="10" spans="1:4" ht="16.5" thickTop="1" thickBot="1" x14ac:dyDescent="0.3">
      <c r="A10" s="115" t="s">
        <v>0</v>
      </c>
      <c r="B10" s="116" t="s">
        <v>673</v>
      </c>
      <c r="C10" s="117" t="s">
        <v>675</v>
      </c>
      <c r="D10" s="118" t="s">
        <v>677</v>
      </c>
    </row>
    <row r="11" spans="1:4" ht="15.75" thickTop="1" x14ac:dyDescent="0.25">
      <c r="A11" s="119"/>
      <c r="B11" s="120"/>
      <c r="C11" s="121"/>
      <c r="D11" s="122"/>
    </row>
    <row r="12" spans="1:4" x14ac:dyDescent="0.25">
      <c r="A12" s="123" t="s">
        <v>1</v>
      </c>
      <c r="B12" s="187"/>
      <c r="C12" s="187"/>
      <c r="D12" s="188"/>
    </row>
    <row r="13" spans="1:4" x14ac:dyDescent="0.25">
      <c r="A13" s="123" t="s">
        <v>2</v>
      </c>
      <c r="B13" s="187"/>
      <c r="C13" s="187"/>
      <c r="D13" s="188"/>
    </row>
    <row r="14" spans="1:4" ht="16.5" customHeight="1" x14ac:dyDescent="0.25">
      <c r="A14" s="124"/>
      <c r="B14" s="125"/>
      <c r="D14" s="126"/>
    </row>
    <row r="15" spans="1:4" ht="18" x14ac:dyDescent="0.25">
      <c r="A15" s="172" t="s">
        <v>3</v>
      </c>
      <c r="B15" s="173"/>
      <c r="C15" s="173"/>
      <c r="D15" s="174"/>
    </row>
    <row r="16" spans="1:4" ht="15.75" x14ac:dyDescent="0.25">
      <c r="A16" s="127" t="s">
        <v>4</v>
      </c>
      <c r="B16" s="146">
        <f>'General Conditions'!C76</f>
        <v>287502</v>
      </c>
      <c r="C16" s="128"/>
      <c r="D16" s="129"/>
    </row>
    <row r="17" spans="1:4" ht="18" x14ac:dyDescent="0.25">
      <c r="A17" s="172" t="s">
        <v>5</v>
      </c>
      <c r="B17" s="173"/>
      <c r="C17" s="173"/>
      <c r="D17" s="174"/>
    </row>
    <row r="18" spans="1:4" ht="15.75" x14ac:dyDescent="0.25">
      <c r="A18" s="127" t="s">
        <v>4</v>
      </c>
      <c r="B18" s="111">
        <f>Details!D13</f>
        <v>0</v>
      </c>
      <c r="C18" s="128"/>
      <c r="D18" s="129"/>
    </row>
    <row r="19" spans="1:4" ht="18" x14ac:dyDescent="0.25">
      <c r="A19" s="189" t="s">
        <v>6</v>
      </c>
      <c r="B19" s="190"/>
      <c r="C19" s="190"/>
      <c r="D19" s="191"/>
    </row>
    <row r="20" spans="1:4" ht="15.75" x14ac:dyDescent="0.25">
      <c r="A20" s="127" t="s">
        <v>4</v>
      </c>
      <c r="B20" s="146">
        <f>Details!D26</f>
        <v>0</v>
      </c>
      <c r="C20" s="128"/>
      <c r="D20" s="129"/>
    </row>
    <row r="21" spans="1:4" ht="18" x14ac:dyDescent="0.25">
      <c r="A21" s="172" t="s">
        <v>8</v>
      </c>
      <c r="B21" s="173"/>
      <c r="C21" s="173"/>
      <c r="D21" s="174"/>
    </row>
    <row r="22" spans="1:4" ht="15.75" x14ac:dyDescent="0.25">
      <c r="A22" s="127" t="s">
        <v>4</v>
      </c>
      <c r="B22" s="146">
        <f>Details!D33</f>
        <v>0</v>
      </c>
      <c r="C22" s="128"/>
      <c r="D22" s="129"/>
    </row>
    <row r="23" spans="1:4" ht="18" x14ac:dyDescent="0.25">
      <c r="A23" s="172" t="s">
        <v>10</v>
      </c>
      <c r="B23" s="173"/>
      <c r="C23" s="173"/>
      <c r="D23" s="174"/>
    </row>
    <row r="24" spans="1:4" ht="15.75" x14ac:dyDescent="0.25">
      <c r="A24" s="127" t="s">
        <v>4</v>
      </c>
      <c r="B24" s="146">
        <f>Details!D46</f>
        <v>0</v>
      </c>
      <c r="C24" s="128"/>
      <c r="D24" s="129"/>
    </row>
    <row r="25" spans="1:4" ht="18" x14ac:dyDescent="0.25">
      <c r="A25" s="172" t="s">
        <v>11</v>
      </c>
      <c r="B25" s="173"/>
      <c r="C25" s="173"/>
      <c r="D25" s="174"/>
    </row>
    <row r="26" spans="1:4" ht="15.75" x14ac:dyDescent="0.25">
      <c r="A26" s="127" t="s">
        <v>4</v>
      </c>
      <c r="B26" s="146">
        <f>Details!D53</f>
        <v>0</v>
      </c>
      <c r="C26" s="128"/>
      <c r="D26" s="129"/>
    </row>
    <row r="27" spans="1:4" ht="18" x14ac:dyDescent="0.25">
      <c r="A27" s="172" t="s">
        <v>12</v>
      </c>
      <c r="B27" s="173"/>
      <c r="C27" s="173"/>
      <c r="D27" s="174"/>
    </row>
    <row r="28" spans="1:4" ht="15.75" x14ac:dyDescent="0.25">
      <c r="A28" s="127" t="s">
        <v>4</v>
      </c>
      <c r="B28" s="146">
        <f>Details!D73</f>
        <v>0</v>
      </c>
      <c r="C28" s="128"/>
      <c r="D28" s="129"/>
    </row>
    <row r="29" spans="1:4" ht="18" x14ac:dyDescent="0.25">
      <c r="A29" s="172" t="s">
        <v>13</v>
      </c>
      <c r="B29" s="173"/>
      <c r="C29" s="173"/>
      <c r="D29" s="174"/>
    </row>
    <row r="30" spans="1:4" ht="15.75" x14ac:dyDescent="0.25">
      <c r="A30" s="127" t="s">
        <v>4</v>
      </c>
      <c r="B30" s="146">
        <f>Details!D99</f>
        <v>0</v>
      </c>
      <c r="C30" s="128"/>
      <c r="D30" s="129"/>
    </row>
    <row r="31" spans="1:4" ht="19.350000000000001" customHeight="1" x14ac:dyDescent="0.25">
      <c r="A31" s="172" t="s">
        <v>14</v>
      </c>
      <c r="B31" s="173"/>
      <c r="C31" s="173"/>
      <c r="D31" s="174"/>
    </row>
    <row r="32" spans="1:4" ht="15.75" x14ac:dyDescent="0.25">
      <c r="A32" s="127" t="s">
        <v>4</v>
      </c>
      <c r="B32" s="146">
        <f>Details!D125</f>
        <v>0</v>
      </c>
      <c r="C32" s="128"/>
      <c r="D32" s="129"/>
    </row>
    <row r="33" spans="1:4" ht="18" x14ac:dyDescent="0.25">
      <c r="A33" s="172" t="s">
        <v>16</v>
      </c>
      <c r="B33" s="173"/>
      <c r="C33" s="173"/>
      <c r="D33" s="174"/>
    </row>
    <row r="34" spans="1:4" ht="15.75" x14ac:dyDescent="0.25">
      <c r="A34" s="127" t="s">
        <v>4</v>
      </c>
      <c r="B34" s="146">
        <f>Details!D147</f>
        <v>0</v>
      </c>
      <c r="C34" s="128"/>
      <c r="D34" s="129"/>
    </row>
    <row r="35" spans="1:4" ht="18" x14ac:dyDescent="0.25">
      <c r="A35" s="172" t="s">
        <v>17</v>
      </c>
      <c r="B35" s="173"/>
      <c r="C35" s="173"/>
      <c r="D35" s="174"/>
    </row>
    <row r="36" spans="1:4" ht="15.75" x14ac:dyDescent="0.25">
      <c r="A36" s="127" t="s">
        <v>4</v>
      </c>
      <c r="B36" s="146">
        <f>Details!D154</f>
        <v>0</v>
      </c>
      <c r="C36" s="128"/>
      <c r="D36" s="129"/>
    </row>
    <row r="37" spans="1:4" ht="18" x14ac:dyDescent="0.25">
      <c r="A37" s="172" t="s">
        <v>18</v>
      </c>
      <c r="B37" s="173"/>
      <c r="C37" s="173"/>
      <c r="D37" s="174"/>
    </row>
    <row r="38" spans="1:4" ht="15.75" x14ac:dyDescent="0.25">
      <c r="A38" s="127" t="s">
        <v>4</v>
      </c>
      <c r="B38" s="146">
        <f>Details!D162</f>
        <v>0</v>
      </c>
      <c r="C38" s="128"/>
      <c r="D38" s="129"/>
    </row>
    <row r="39" spans="1:4" ht="18" x14ac:dyDescent="0.25">
      <c r="A39" s="172" t="s">
        <v>585</v>
      </c>
      <c r="B39" s="173"/>
      <c r="C39" s="173"/>
      <c r="D39" s="174"/>
    </row>
    <row r="40" spans="1:4" ht="15.75" x14ac:dyDescent="0.25">
      <c r="A40" s="127" t="s">
        <v>4</v>
      </c>
      <c r="B40" s="146">
        <f>Details!D169</f>
        <v>0</v>
      </c>
      <c r="C40" s="128"/>
      <c r="D40" s="129"/>
    </row>
    <row r="41" spans="1:4" ht="18" x14ac:dyDescent="0.25">
      <c r="A41" s="172" t="s">
        <v>586</v>
      </c>
      <c r="B41" s="173"/>
      <c r="C41" s="173"/>
      <c r="D41" s="174"/>
    </row>
    <row r="42" spans="1:4" ht="15.75" x14ac:dyDescent="0.25">
      <c r="A42" s="127" t="s">
        <v>4</v>
      </c>
      <c r="B42" s="146">
        <f>Details!D173</f>
        <v>0</v>
      </c>
      <c r="C42" s="128"/>
      <c r="D42" s="129"/>
    </row>
    <row r="43" spans="1:4" ht="18" x14ac:dyDescent="0.25">
      <c r="A43" s="172" t="s">
        <v>19</v>
      </c>
      <c r="B43" s="173"/>
      <c r="C43" s="173"/>
      <c r="D43" s="174"/>
    </row>
    <row r="44" spans="1:4" ht="15.75" x14ac:dyDescent="0.25">
      <c r="A44" s="127" t="s">
        <v>4</v>
      </c>
      <c r="B44" s="146">
        <f>Details!D184</f>
        <v>0</v>
      </c>
      <c r="C44" s="128"/>
      <c r="D44" s="129"/>
    </row>
    <row r="45" spans="1:4" ht="18" x14ac:dyDescent="0.25">
      <c r="A45" s="172" t="s">
        <v>20</v>
      </c>
      <c r="B45" s="173"/>
      <c r="C45" s="173"/>
      <c r="D45" s="174"/>
    </row>
    <row r="46" spans="1:4" ht="15.75" x14ac:dyDescent="0.25">
      <c r="A46" s="127" t="s">
        <v>4</v>
      </c>
      <c r="B46" s="146">
        <f>Details!D198</f>
        <v>0</v>
      </c>
      <c r="C46" s="128"/>
      <c r="D46" s="129"/>
    </row>
    <row r="47" spans="1:4" ht="18" x14ac:dyDescent="0.25">
      <c r="A47" s="172" t="s">
        <v>21</v>
      </c>
      <c r="B47" s="173"/>
      <c r="C47" s="173"/>
      <c r="D47" s="174"/>
    </row>
    <row r="48" spans="1:4" ht="15.75" x14ac:dyDescent="0.25">
      <c r="A48" s="127" t="s">
        <v>4</v>
      </c>
      <c r="B48" s="146">
        <f>Details!D208</f>
        <v>0</v>
      </c>
      <c r="C48" s="128"/>
      <c r="D48" s="129"/>
    </row>
    <row r="49" spans="1:4" ht="18" x14ac:dyDescent="0.25">
      <c r="A49" s="172" t="s">
        <v>587</v>
      </c>
      <c r="B49" s="173"/>
      <c r="C49" s="173"/>
      <c r="D49" s="174"/>
    </row>
    <row r="50" spans="1:4" ht="15.75" x14ac:dyDescent="0.25">
      <c r="A50" s="127" t="s">
        <v>4</v>
      </c>
      <c r="B50" s="146">
        <f>Details!D211</f>
        <v>0</v>
      </c>
      <c r="C50" s="128"/>
      <c r="D50" s="129"/>
    </row>
    <row r="51" spans="1:4" ht="18" x14ac:dyDescent="0.25">
      <c r="A51" s="172" t="s">
        <v>22</v>
      </c>
      <c r="B51" s="173"/>
      <c r="C51" s="173"/>
      <c r="D51" s="174"/>
    </row>
    <row r="52" spans="1:4" ht="15.75" x14ac:dyDescent="0.25">
      <c r="A52" s="127" t="s">
        <v>4</v>
      </c>
      <c r="B52" s="146">
        <f>Details!D222</f>
        <v>0</v>
      </c>
      <c r="C52" s="128"/>
      <c r="D52" s="129"/>
    </row>
    <row r="53" spans="1:4" ht="18" x14ac:dyDescent="0.25">
      <c r="A53" s="172" t="s">
        <v>588</v>
      </c>
      <c r="B53" s="173"/>
      <c r="C53" s="173"/>
      <c r="D53" s="174"/>
    </row>
    <row r="54" spans="1:4" ht="15.75" x14ac:dyDescent="0.25">
      <c r="A54" s="127" t="s">
        <v>4</v>
      </c>
      <c r="B54" s="146">
        <f>Details!D227</f>
        <v>0</v>
      </c>
      <c r="C54" s="128"/>
      <c r="D54" s="129"/>
    </row>
    <row r="55" spans="1:4" ht="18" x14ac:dyDescent="0.25">
      <c r="A55" s="172" t="s">
        <v>23</v>
      </c>
      <c r="B55" s="173"/>
      <c r="C55" s="173"/>
      <c r="D55" s="174"/>
    </row>
    <row r="56" spans="1:4" ht="15.75" x14ac:dyDescent="0.25">
      <c r="A56" s="127" t="s">
        <v>4</v>
      </c>
      <c r="B56" s="146">
        <f>Details!D233</f>
        <v>0</v>
      </c>
      <c r="C56" s="128"/>
      <c r="D56" s="129"/>
    </row>
    <row r="57" spans="1:4" ht="18" x14ac:dyDescent="0.25">
      <c r="A57" s="172" t="s">
        <v>24</v>
      </c>
      <c r="B57" s="173"/>
      <c r="C57" s="173"/>
      <c r="D57" s="174"/>
    </row>
    <row r="58" spans="1:4" ht="15.75" x14ac:dyDescent="0.25">
      <c r="A58" s="127" t="s">
        <v>4</v>
      </c>
      <c r="B58" s="146">
        <f>Details!D250</f>
        <v>0</v>
      </c>
      <c r="C58" s="128"/>
      <c r="D58" s="129"/>
    </row>
    <row r="59" spans="1:4" ht="18" x14ac:dyDescent="0.25">
      <c r="A59" s="172" t="s">
        <v>25</v>
      </c>
      <c r="B59" s="173"/>
      <c r="C59" s="173"/>
      <c r="D59" s="174"/>
    </row>
    <row r="60" spans="1:4" ht="15.75" x14ac:dyDescent="0.25">
      <c r="A60" s="127" t="s">
        <v>4</v>
      </c>
      <c r="B60" s="146">
        <f>Details!D272</f>
        <v>0</v>
      </c>
      <c r="C60" s="130"/>
      <c r="D60" s="129"/>
    </row>
    <row r="61" spans="1:4" ht="18" x14ac:dyDescent="0.25">
      <c r="A61" s="172" t="s">
        <v>26</v>
      </c>
      <c r="B61" s="173"/>
      <c r="C61" s="173"/>
      <c r="D61" s="174"/>
    </row>
    <row r="62" spans="1:4" ht="15.75" x14ac:dyDescent="0.25">
      <c r="A62" s="127" t="s">
        <v>4</v>
      </c>
      <c r="B62" s="146">
        <f>Details!D286</f>
        <v>0</v>
      </c>
      <c r="C62" s="130"/>
      <c r="D62" s="129"/>
    </row>
    <row r="63" spans="1:4" ht="18" x14ac:dyDescent="0.25">
      <c r="A63" s="172" t="s">
        <v>589</v>
      </c>
      <c r="B63" s="173"/>
      <c r="C63" s="173"/>
      <c r="D63" s="174"/>
    </row>
    <row r="64" spans="1:4" ht="15.75" x14ac:dyDescent="0.25">
      <c r="A64" s="127" t="s">
        <v>4</v>
      </c>
      <c r="B64" s="146">
        <f>Details!D291</f>
        <v>0</v>
      </c>
      <c r="C64" s="130"/>
      <c r="D64" s="129"/>
    </row>
    <row r="65" spans="1:9" ht="18" x14ac:dyDescent="0.25">
      <c r="A65" s="172" t="s">
        <v>590</v>
      </c>
      <c r="B65" s="173"/>
      <c r="C65" s="173"/>
      <c r="D65" s="174"/>
    </row>
    <row r="66" spans="1:9" ht="15.75" x14ac:dyDescent="0.25">
      <c r="A66" s="127" t="s">
        <v>4</v>
      </c>
      <c r="B66" s="146">
        <f>Details!D294</f>
        <v>0</v>
      </c>
      <c r="C66" s="130"/>
      <c r="D66" s="129"/>
    </row>
    <row r="67" spans="1:9" ht="18" x14ac:dyDescent="0.25">
      <c r="A67" s="172" t="s">
        <v>27</v>
      </c>
      <c r="B67" s="173"/>
      <c r="C67" s="173"/>
      <c r="D67" s="174"/>
    </row>
    <row r="68" spans="1:9" ht="15.75" x14ac:dyDescent="0.25">
      <c r="A68" s="127" t="s">
        <v>4</v>
      </c>
      <c r="B68" s="152">
        <f>Details!D316</f>
        <v>0</v>
      </c>
      <c r="C68" s="131"/>
      <c r="D68" s="129"/>
    </row>
    <row r="69" spans="1:9" x14ac:dyDescent="0.25">
      <c r="A69" s="132"/>
      <c r="C69" s="128"/>
      <c r="D69" s="129"/>
      <c r="H69" s="87"/>
    </row>
    <row r="70" spans="1:9" x14ac:dyDescent="0.25">
      <c r="A70" s="132"/>
      <c r="B70" s="133"/>
      <c r="C70" s="128"/>
      <c r="D70" s="129"/>
      <c r="H70" s="87"/>
    </row>
    <row r="71" spans="1:9" ht="15.75" x14ac:dyDescent="0.25">
      <c r="A71" s="127" t="s">
        <v>28</v>
      </c>
      <c r="B71" s="146">
        <f>Details!D318</f>
        <v>287502</v>
      </c>
      <c r="C71" s="128"/>
      <c r="D71" s="129"/>
    </row>
    <row r="72" spans="1:9" ht="15.75" hidden="1" x14ac:dyDescent="0.25">
      <c r="A72" s="132" t="s">
        <v>29</v>
      </c>
      <c r="B72" s="146">
        <f>Details!D320</f>
        <v>14376</v>
      </c>
      <c r="C72" s="128"/>
      <c r="D72" s="129"/>
    </row>
    <row r="73" spans="1:9" ht="15.75" x14ac:dyDescent="0.25">
      <c r="A73" s="127" t="s">
        <v>30</v>
      </c>
      <c r="B73" s="146">
        <f>Details!D321</f>
        <v>3882</v>
      </c>
      <c r="C73" s="128"/>
      <c r="D73" s="129"/>
    </row>
    <row r="74" spans="1:9" ht="15.75" x14ac:dyDescent="0.25">
      <c r="A74" s="127" t="s">
        <v>31</v>
      </c>
      <c r="B74" s="146">
        <f>Details!D322</f>
        <v>32633</v>
      </c>
      <c r="C74" s="128"/>
      <c r="D74" s="129"/>
      <c r="G74" s="134"/>
      <c r="I74" s="135"/>
    </row>
    <row r="75" spans="1:9" ht="18.75" thickBot="1" x14ac:dyDescent="0.3">
      <c r="A75" s="136" t="s">
        <v>32</v>
      </c>
      <c r="B75" s="147">
        <f>Details!D324</f>
        <v>338393</v>
      </c>
      <c r="C75" s="137"/>
      <c r="D75" s="138"/>
    </row>
    <row r="76" spans="1:9" x14ac:dyDescent="0.25">
      <c r="A76" s="133"/>
      <c r="B76" s="139"/>
      <c r="C76" s="128"/>
      <c r="D76" s="128"/>
    </row>
    <row r="77" spans="1:9" ht="15.75" thickBot="1" x14ac:dyDescent="0.3">
      <c r="A77" s="133"/>
      <c r="B77" s="139"/>
      <c r="C77" s="128"/>
      <c r="D77" s="128"/>
    </row>
    <row r="78" spans="1:9" ht="20.25" x14ac:dyDescent="0.3">
      <c r="A78" s="140" t="s">
        <v>33</v>
      </c>
      <c r="B78" s="141"/>
      <c r="C78" s="142"/>
      <c r="D78" s="143"/>
    </row>
    <row r="79" spans="1:9" ht="15.75" thickBot="1" x14ac:dyDescent="0.3">
      <c r="A79" s="144">
        <v>1</v>
      </c>
      <c r="B79" s="145"/>
      <c r="C79" s="137"/>
      <c r="D79" s="138"/>
    </row>
    <row r="80" spans="1:9" x14ac:dyDescent="0.25">
      <c r="A80" s="133"/>
      <c r="B80" s="163"/>
      <c r="C80" s="128"/>
      <c r="D80" s="128"/>
    </row>
    <row r="81" spans="1:4" x14ac:dyDescent="0.25">
      <c r="A81" s="133"/>
      <c r="B81" s="163"/>
      <c r="C81" s="128"/>
      <c r="D81" s="128"/>
    </row>
    <row r="82" spans="1:4" x14ac:dyDescent="0.25">
      <c r="A82" s="133"/>
      <c r="B82" s="139"/>
      <c r="C82" s="128"/>
      <c r="D82" s="128"/>
    </row>
    <row r="83" spans="1:4" x14ac:dyDescent="0.25">
      <c r="A83" s="133"/>
      <c r="B83" s="139"/>
      <c r="C83" s="128"/>
      <c r="D83" s="128"/>
    </row>
    <row r="84" spans="1:4" x14ac:dyDescent="0.25">
      <c r="A84" s="133"/>
      <c r="B84" s="139"/>
      <c r="C84" s="128"/>
      <c r="D84" s="128"/>
    </row>
    <row r="85" spans="1:4" x14ac:dyDescent="0.25">
      <c r="A85" s="133"/>
      <c r="B85" s="139"/>
      <c r="C85" s="128"/>
      <c r="D85" s="128"/>
    </row>
    <row r="86" spans="1:4" x14ac:dyDescent="0.25">
      <c r="A86" s="133"/>
      <c r="B86" s="139"/>
      <c r="C86" s="128"/>
      <c r="D86" s="128"/>
    </row>
    <row r="87" spans="1:4" x14ac:dyDescent="0.25">
      <c r="A87" s="133"/>
      <c r="B87" s="139"/>
      <c r="C87" s="128"/>
      <c r="D87" s="128"/>
    </row>
    <row r="88" spans="1:4" x14ac:dyDescent="0.25">
      <c r="A88" s="133"/>
      <c r="B88" s="139"/>
      <c r="C88" s="128"/>
      <c r="D88" s="128"/>
    </row>
    <row r="89" spans="1:4" x14ac:dyDescent="0.25">
      <c r="A89" s="133"/>
      <c r="B89" s="139"/>
      <c r="C89" s="128"/>
      <c r="D89" s="128"/>
    </row>
    <row r="90" spans="1:4" x14ac:dyDescent="0.25">
      <c r="A90" s="133"/>
      <c r="B90" s="139"/>
      <c r="C90" s="128"/>
      <c r="D90" s="128"/>
    </row>
    <row r="91" spans="1:4" x14ac:dyDescent="0.25">
      <c r="A91" s="133"/>
      <c r="B91" s="139"/>
      <c r="C91" s="128"/>
      <c r="D91" s="128"/>
    </row>
    <row r="92" spans="1:4" x14ac:dyDescent="0.25">
      <c r="A92" s="133"/>
      <c r="B92" s="139"/>
      <c r="C92" s="128"/>
      <c r="D92" s="128"/>
    </row>
    <row r="93" spans="1:4" x14ac:dyDescent="0.25">
      <c r="A93" s="133"/>
      <c r="B93" s="139"/>
      <c r="C93" s="128"/>
      <c r="D93" s="128"/>
    </row>
    <row r="94" spans="1:4" x14ac:dyDescent="0.25">
      <c r="A94" s="133"/>
      <c r="B94" s="139"/>
      <c r="C94" s="128"/>
      <c r="D94" s="128"/>
    </row>
    <row r="95" spans="1:4" x14ac:dyDescent="0.25">
      <c r="A95" s="133"/>
      <c r="B95" s="139"/>
      <c r="C95" s="128"/>
      <c r="D95" s="128"/>
    </row>
    <row r="96" spans="1:4" x14ac:dyDescent="0.25">
      <c r="A96" s="133"/>
      <c r="B96" s="139"/>
      <c r="C96" s="128"/>
      <c r="D96" s="128"/>
    </row>
    <row r="97" spans="1:4" x14ac:dyDescent="0.25">
      <c r="A97" s="133"/>
      <c r="B97" s="139"/>
      <c r="C97" s="128"/>
      <c r="D97" s="128"/>
    </row>
    <row r="98" spans="1:4" x14ac:dyDescent="0.25">
      <c r="A98" s="133"/>
      <c r="B98" s="139"/>
      <c r="C98" s="128"/>
      <c r="D98" s="128"/>
    </row>
    <row r="99" spans="1:4" x14ac:dyDescent="0.25">
      <c r="A99" s="133"/>
      <c r="B99" s="139"/>
      <c r="C99" s="128"/>
      <c r="D99" s="128"/>
    </row>
    <row r="100" spans="1:4" x14ac:dyDescent="0.25">
      <c r="A100" s="133"/>
      <c r="B100" s="139"/>
      <c r="C100" s="128"/>
      <c r="D100" s="128"/>
    </row>
    <row r="101" spans="1:4" x14ac:dyDescent="0.25">
      <c r="A101" s="133"/>
      <c r="B101" s="139"/>
      <c r="C101" s="128"/>
      <c r="D101" s="128"/>
    </row>
    <row r="102" spans="1:4" x14ac:dyDescent="0.25">
      <c r="A102" s="133"/>
      <c r="B102" s="139"/>
      <c r="C102" s="128"/>
      <c r="D102" s="128"/>
    </row>
    <row r="103" spans="1:4" x14ac:dyDescent="0.25">
      <c r="A103" s="133"/>
      <c r="B103" s="139"/>
      <c r="C103" s="128"/>
      <c r="D103" s="128"/>
    </row>
    <row r="104" spans="1:4" x14ac:dyDescent="0.25">
      <c r="A104" s="133"/>
      <c r="B104" s="139"/>
      <c r="C104" s="128"/>
      <c r="D104" s="128"/>
    </row>
    <row r="105" spans="1:4" x14ac:dyDescent="0.25">
      <c r="A105" s="133"/>
      <c r="B105" s="139"/>
      <c r="C105" s="128"/>
      <c r="D105" s="128"/>
    </row>
    <row r="106" spans="1:4" x14ac:dyDescent="0.25">
      <c r="A106" s="133"/>
      <c r="B106" s="139"/>
      <c r="C106" s="128"/>
      <c r="D106" s="128"/>
    </row>
    <row r="107" spans="1:4" x14ac:dyDescent="0.25">
      <c r="A107" s="133"/>
      <c r="B107" s="139"/>
      <c r="C107" s="128"/>
      <c r="D107" s="128"/>
    </row>
    <row r="108" spans="1:4" x14ac:dyDescent="0.25">
      <c r="A108" s="133"/>
      <c r="B108" s="139"/>
      <c r="C108" s="128"/>
      <c r="D108" s="128"/>
    </row>
    <row r="109" spans="1:4" x14ac:dyDescent="0.25">
      <c r="A109" s="133"/>
      <c r="B109" s="139"/>
      <c r="C109" s="128"/>
      <c r="D109" s="128"/>
    </row>
    <row r="110" spans="1:4" x14ac:dyDescent="0.25">
      <c r="A110" s="133"/>
      <c r="B110" s="139"/>
      <c r="C110" s="128"/>
      <c r="D110" s="128"/>
    </row>
    <row r="111" spans="1:4" x14ac:dyDescent="0.25">
      <c r="A111" s="133"/>
      <c r="B111" s="139"/>
      <c r="C111" s="128"/>
      <c r="D111" s="128"/>
    </row>
    <row r="112" spans="1:4" x14ac:dyDescent="0.25">
      <c r="A112" s="133"/>
      <c r="B112" s="139"/>
      <c r="C112" s="128"/>
      <c r="D112" s="128"/>
    </row>
    <row r="113" spans="1:4" x14ac:dyDescent="0.25">
      <c r="A113" s="133"/>
      <c r="B113" s="139"/>
      <c r="C113" s="128"/>
      <c r="D113" s="128"/>
    </row>
    <row r="114" spans="1:4" x14ac:dyDescent="0.25">
      <c r="A114" s="133"/>
      <c r="B114" s="139"/>
      <c r="C114" s="128"/>
      <c r="D114" s="128"/>
    </row>
    <row r="115" spans="1:4" x14ac:dyDescent="0.25">
      <c r="A115" s="133"/>
      <c r="B115" s="139"/>
      <c r="C115" s="128"/>
      <c r="D115" s="128"/>
    </row>
    <row r="116" spans="1:4" x14ac:dyDescent="0.25">
      <c r="A116" s="133"/>
      <c r="B116" s="139"/>
      <c r="C116" s="128"/>
      <c r="D116" s="128"/>
    </row>
    <row r="117" spans="1:4" x14ac:dyDescent="0.25">
      <c r="A117" s="133"/>
      <c r="B117" s="139"/>
      <c r="C117" s="128"/>
      <c r="D117" s="128"/>
    </row>
    <row r="118" spans="1:4" x14ac:dyDescent="0.25">
      <c r="A118" s="133"/>
      <c r="B118" s="139"/>
      <c r="C118" s="128"/>
      <c r="D118" s="128"/>
    </row>
    <row r="119" spans="1:4" x14ac:dyDescent="0.25">
      <c r="A119" s="133"/>
      <c r="B119" s="139"/>
      <c r="C119" s="128"/>
      <c r="D119" s="128"/>
    </row>
    <row r="120" spans="1:4" x14ac:dyDescent="0.25">
      <c r="A120" s="133"/>
      <c r="B120" s="139"/>
      <c r="C120" s="128"/>
      <c r="D120" s="128"/>
    </row>
    <row r="121" spans="1:4" x14ac:dyDescent="0.25">
      <c r="A121" s="133"/>
      <c r="B121" s="139"/>
      <c r="C121" s="128"/>
      <c r="D121" s="128"/>
    </row>
    <row r="122" spans="1:4" x14ac:dyDescent="0.25">
      <c r="A122" s="133"/>
      <c r="B122" s="139"/>
      <c r="C122" s="128"/>
      <c r="D122" s="128"/>
    </row>
    <row r="123" spans="1:4" x14ac:dyDescent="0.25">
      <c r="A123" s="133"/>
      <c r="B123" s="139"/>
      <c r="C123" s="128"/>
      <c r="D123" s="128"/>
    </row>
    <row r="124" spans="1:4" x14ac:dyDescent="0.25">
      <c r="A124" s="133"/>
      <c r="B124" s="139"/>
      <c r="C124" s="128"/>
      <c r="D124" s="128"/>
    </row>
    <row r="125" spans="1:4" x14ac:dyDescent="0.25">
      <c r="A125" s="133"/>
      <c r="B125" s="139"/>
      <c r="C125" s="128"/>
      <c r="D125" s="128"/>
    </row>
    <row r="126" spans="1:4" x14ac:dyDescent="0.25">
      <c r="A126" s="133"/>
      <c r="B126" s="139"/>
      <c r="C126" s="128"/>
      <c r="D126" s="128"/>
    </row>
    <row r="127" spans="1:4" x14ac:dyDescent="0.25">
      <c r="A127" s="133"/>
      <c r="B127" s="139"/>
      <c r="C127" s="128"/>
      <c r="D127" s="128"/>
    </row>
    <row r="128" spans="1:4" x14ac:dyDescent="0.25">
      <c r="A128" s="133"/>
      <c r="B128" s="139"/>
      <c r="C128" s="128"/>
      <c r="D128" s="128"/>
    </row>
    <row r="129" spans="1:4" x14ac:dyDescent="0.25">
      <c r="A129" s="133"/>
      <c r="B129" s="139"/>
      <c r="C129" s="128"/>
      <c r="D129" s="128"/>
    </row>
    <row r="130" spans="1:4" x14ac:dyDescent="0.25">
      <c r="A130" s="133"/>
      <c r="B130" s="139"/>
      <c r="C130" s="128"/>
      <c r="D130" s="128"/>
    </row>
    <row r="131" spans="1:4" x14ac:dyDescent="0.25">
      <c r="A131" s="133"/>
      <c r="B131" s="139"/>
      <c r="C131" s="128"/>
      <c r="D131" s="128"/>
    </row>
    <row r="132" spans="1:4" x14ac:dyDescent="0.25">
      <c r="A132" s="133"/>
      <c r="B132" s="139"/>
      <c r="C132" s="128"/>
      <c r="D132" s="128"/>
    </row>
    <row r="133" spans="1:4" x14ac:dyDescent="0.25">
      <c r="A133" s="133"/>
      <c r="B133" s="139"/>
      <c r="C133" s="128"/>
      <c r="D133" s="128"/>
    </row>
    <row r="134" spans="1:4" x14ac:dyDescent="0.25">
      <c r="A134" s="133"/>
      <c r="B134" s="139"/>
      <c r="C134" s="128"/>
      <c r="D134" s="128"/>
    </row>
    <row r="135" spans="1:4" x14ac:dyDescent="0.25">
      <c r="A135" s="133"/>
      <c r="B135" s="139"/>
      <c r="C135" s="128"/>
      <c r="D135" s="128"/>
    </row>
    <row r="136" spans="1:4" x14ac:dyDescent="0.25">
      <c r="A136" s="133"/>
      <c r="B136" s="139"/>
      <c r="C136" s="128"/>
      <c r="D136" s="128"/>
    </row>
    <row r="137" spans="1:4" x14ac:dyDescent="0.25">
      <c r="A137" s="133"/>
      <c r="B137" s="139"/>
      <c r="C137" s="128"/>
      <c r="D137" s="128"/>
    </row>
    <row r="138" spans="1:4" x14ac:dyDescent="0.25">
      <c r="A138" s="133"/>
      <c r="B138" s="139"/>
      <c r="C138" s="128"/>
      <c r="D138" s="128"/>
    </row>
    <row r="139" spans="1:4" x14ac:dyDescent="0.25">
      <c r="A139" s="133"/>
      <c r="B139" s="139"/>
      <c r="C139" s="128"/>
      <c r="D139" s="128"/>
    </row>
    <row r="140" spans="1:4" x14ac:dyDescent="0.25">
      <c r="A140" s="133"/>
      <c r="B140" s="139"/>
      <c r="C140" s="128"/>
      <c r="D140" s="128"/>
    </row>
    <row r="141" spans="1:4" x14ac:dyDescent="0.25">
      <c r="A141" s="133"/>
      <c r="B141" s="139"/>
      <c r="C141" s="128"/>
      <c r="D141" s="128"/>
    </row>
    <row r="142" spans="1:4" x14ac:dyDescent="0.25">
      <c r="A142" s="133"/>
      <c r="B142" s="139"/>
      <c r="C142" s="128"/>
      <c r="D142" s="128"/>
    </row>
    <row r="143" spans="1:4" x14ac:dyDescent="0.25">
      <c r="A143" s="133"/>
      <c r="B143" s="139"/>
      <c r="C143" s="128"/>
      <c r="D143" s="128"/>
    </row>
    <row r="144" spans="1:4" x14ac:dyDescent="0.25">
      <c r="A144" s="133"/>
      <c r="B144" s="139"/>
      <c r="C144" s="128"/>
      <c r="D144" s="128"/>
    </row>
    <row r="145" spans="1:4" x14ac:dyDescent="0.25">
      <c r="A145" s="133"/>
      <c r="B145" s="139"/>
      <c r="C145" s="128"/>
      <c r="D145" s="128"/>
    </row>
    <row r="146" spans="1:4" x14ac:dyDescent="0.25">
      <c r="A146" s="133"/>
      <c r="B146" s="139"/>
      <c r="C146" s="128"/>
      <c r="D146" s="128"/>
    </row>
    <row r="147" spans="1:4" x14ac:dyDescent="0.25">
      <c r="A147" s="133"/>
      <c r="B147" s="139"/>
      <c r="C147" s="128"/>
      <c r="D147" s="128"/>
    </row>
    <row r="148" spans="1:4" x14ac:dyDescent="0.25">
      <c r="A148" s="133"/>
      <c r="B148" s="139"/>
      <c r="C148" s="128"/>
      <c r="D148" s="128"/>
    </row>
    <row r="149" spans="1:4" x14ac:dyDescent="0.25">
      <c r="A149" s="133"/>
      <c r="B149" s="139"/>
      <c r="C149" s="128"/>
      <c r="D149" s="128"/>
    </row>
    <row r="150" spans="1:4" x14ac:dyDescent="0.25">
      <c r="A150" s="133"/>
      <c r="B150" s="139"/>
      <c r="C150" s="128"/>
      <c r="D150" s="128"/>
    </row>
    <row r="151" spans="1:4" x14ac:dyDescent="0.25">
      <c r="A151" s="133"/>
      <c r="B151" s="139"/>
      <c r="C151" s="128"/>
      <c r="D151" s="128"/>
    </row>
    <row r="152" spans="1:4" x14ac:dyDescent="0.25">
      <c r="A152" s="133"/>
      <c r="B152" s="139"/>
      <c r="C152" s="128"/>
      <c r="D152" s="128"/>
    </row>
    <row r="153" spans="1:4" x14ac:dyDescent="0.25">
      <c r="A153" s="133"/>
      <c r="B153" s="139"/>
      <c r="C153" s="128"/>
      <c r="D153" s="128"/>
    </row>
    <row r="154" spans="1:4" x14ac:dyDescent="0.25">
      <c r="A154" s="133"/>
      <c r="B154" s="139"/>
      <c r="C154" s="128"/>
      <c r="D154" s="128"/>
    </row>
    <row r="155" spans="1:4" x14ac:dyDescent="0.25">
      <c r="A155" s="133"/>
      <c r="B155" s="139"/>
      <c r="C155" s="128"/>
      <c r="D155" s="128"/>
    </row>
    <row r="156" spans="1:4" x14ac:dyDescent="0.25">
      <c r="A156" s="133"/>
      <c r="B156" s="139"/>
      <c r="C156" s="128"/>
      <c r="D156" s="128"/>
    </row>
    <row r="157" spans="1:4" x14ac:dyDescent="0.25">
      <c r="A157" s="133"/>
      <c r="B157" s="139"/>
      <c r="C157" s="128"/>
      <c r="D157" s="128"/>
    </row>
    <row r="158" spans="1:4" x14ac:dyDescent="0.25">
      <c r="A158" s="133"/>
      <c r="B158" s="139"/>
      <c r="C158" s="128"/>
      <c r="D158" s="128"/>
    </row>
    <row r="159" spans="1:4" x14ac:dyDescent="0.25">
      <c r="A159" s="133"/>
      <c r="B159" s="139"/>
      <c r="C159" s="128"/>
      <c r="D159" s="128"/>
    </row>
    <row r="160" spans="1:4" x14ac:dyDescent="0.25">
      <c r="A160" s="133"/>
      <c r="B160" s="139"/>
      <c r="C160" s="128"/>
      <c r="D160" s="128"/>
    </row>
    <row r="161" spans="1:4" x14ac:dyDescent="0.25">
      <c r="A161" s="133"/>
      <c r="B161" s="139"/>
      <c r="C161" s="128"/>
      <c r="D161" s="128"/>
    </row>
    <row r="162" spans="1:4" x14ac:dyDescent="0.25">
      <c r="A162" s="133"/>
      <c r="B162" s="139"/>
      <c r="C162" s="128"/>
      <c r="D162" s="128"/>
    </row>
    <row r="163" spans="1:4" x14ac:dyDescent="0.25">
      <c r="A163" s="133"/>
      <c r="B163" s="139"/>
      <c r="C163" s="128"/>
      <c r="D163" s="128"/>
    </row>
    <row r="164" spans="1:4" x14ac:dyDescent="0.25">
      <c r="A164" s="133"/>
      <c r="B164" s="139"/>
      <c r="C164" s="128"/>
      <c r="D164" s="128"/>
    </row>
    <row r="165" spans="1:4" x14ac:dyDescent="0.25">
      <c r="A165" s="133"/>
      <c r="B165" s="139"/>
      <c r="C165" s="128"/>
      <c r="D165" s="128"/>
    </row>
    <row r="166" spans="1:4" x14ac:dyDescent="0.25">
      <c r="A166" s="133"/>
      <c r="B166" s="139"/>
      <c r="C166" s="128"/>
      <c r="D166" s="128"/>
    </row>
    <row r="167" spans="1:4" x14ac:dyDescent="0.25">
      <c r="A167" s="133"/>
      <c r="B167" s="139"/>
      <c r="C167" s="128"/>
      <c r="D167" s="128"/>
    </row>
    <row r="168" spans="1:4" x14ac:dyDescent="0.25">
      <c r="A168" s="133"/>
      <c r="B168" s="139"/>
      <c r="C168" s="128"/>
      <c r="D168" s="128"/>
    </row>
    <row r="169" spans="1:4" x14ac:dyDescent="0.25">
      <c r="A169" s="133"/>
      <c r="B169" s="139"/>
      <c r="C169" s="128"/>
      <c r="D169" s="128"/>
    </row>
    <row r="170" spans="1:4" x14ac:dyDescent="0.25">
      <c r="A170" s="133"/>
      <c r="B170" s="139"/>
      <c r="C170" s="128"/>
      <c r="D170" s="128"/>
    </row>
    <row r="171" spans="1:4" x14ac:dyDescent="0.25">
      <c r="A171" s="133"/>
      <c r="B171" s="139"/>
      <c r="C171" s="128"/>
      <c r="D171" s="128"/>
    </row>
    <row r="172" spans="1:4" x14ac:dyDescent="0.25">
      <c r="A172" s="133"/>
      <c r="B172" s="139"/>
      <c r="C172" s="128"/>
      <c r="D172" s="128"/>
    </row>
    <row r="173" spans="1:4" x14ac:dyDescent="0.25">
      <c r="A173" s="133"/>
      <c r="B173" s="139"/>
      <c r="C173" s="128"/>
      <c r="D173" s="128"/>
    </row>
    <row r="174" spans="1:4" x14ac:dyDescent="0.25">
      <c r="A174" s="133"/>
      <c r="B174" s="139"/>
      <c r="C174" s="128"/>
      <c r="D174" s="128"/>
    </row>
    <row r="175" spans="1:4" x14ac:dyDescent="0.25">
      <c r="A175" s="133"/>
      <c r="B175" s="139"/>
      <c r="C175" s="128"/>
      <c r="D175" s="128"/>
    </row>
    <row r="176" spans="1:4" x14ac:dyDescent="0.25">
      <c r="A176" s="133"/>
      <c r="B176" s="139"/>
      <c r="C176" s="128"/>
      <c r="D176" s="128"/>
    </row>
    <row r="177" spans="1:4" x14ac:dyDescent="0.25">
      <c r="A177" s="133"/>
      <c r="B177" s="139"/>
      <c r="C177" s="128"/>
      <c r="D177" s="128"/>
    </row>
    <row r="178" spans="1:4" x14ac:dyDescent="0.25">
      <c r="A178" s="133"/>
      <c r="B178" s="139"/>
      <c r="C178" s="128"/>
      <c r="D178" s="128"/>
    </row>
    <row r="179" spans="1:4" x14ac:dyDescent="0.25">
      <c r="A179" s="133"/>
      <c r="B179" s="139"/>
      <c r="C179" s="128"/>
      <c r="D179" s="128"/>
    </row>
    <row r="180" spans="1:4" x14ac:dyDescent="0.25">
      <c r="A180" s="133"/>
      <c r="B180" s="139"/>
      <c r="C180" s="128"/>
      <c r="D180" s="128"/>
    </row>
    <row r="181" spans="1:4" x14ac:dyDescent="0.25">
      <c r="A181" s="133"/>
      <c r="B181" s="139"/>
      <c r="C181" s="128"/>
      <c r="D181" s="128"/>
    </row>
    <row r="182" spans="1:4" x14ac:dyDescent="0.25">
      <c r="A182" s="133"/>
      <c r="B182" s="139"/>
      <c r="C182" s="128"/>
      <c r="D182" s="128"/>
    </row>
  </sheetData>
  <sheetProtection sheet="1" objects="1" scenarios="1" formatColumns="0" formatRows="0" insertRows="0" autoFilter="0"/>
  <mergeCells count="36">
    <mergeCell ref="A63:D63"/>
    <mergeCell ref="A67:D67"/>
    <mergeCell ref="A53:D53"/>
    <mergeCell ref="A55:D55"/>
    <mergeCell ref="A57:D57"/>
    <mergeCell ref="A59:D59"/>
    <mergeCell ref="A61:D61"/>
    <mergeCell ref="A65:D65"/>
    <mergeCell ref="A51:D51"/>
    <mergeCell ref="A23:D23"/>
    <mergeCell ref="A25:D25"/>
    <mergeCell ref="A27:D27"/>
    <mergeCell ref="A29:D29"/>
    <mergeCell ref="A31:D31"/>
    <mergeCell ref="A33:D33"/>
    <mergeCell ref="A35:D35"/>
    <mergeCell ref="A37:D37"/>
    <mergeCell ref="A43:D43"/>
    <mergeCell ref="A45:D45"/>
    <mergeCell ref="A47:D47"/>
    <mergeCell ref="A39:D39"/>
    <mergeCell ref="A41:D41"/>
    <mergeCell ref="A49:D49"/>
    <mergeCell ref="A21:D21"/>
    <mergeCell ref="A1:D1"/>
    <mergeCell ref="A2:B2"/>
    <mergeCell ref="C2:D2"/>
    <mergeCell ref="A3:D3"/>
    <mergeCell ref="A6:B6"/>
    <mergeCell ref="B12:D12"/>
    <mergeCell ref="B13:D13"/>
    <mergeCell ref="A15:D15"/>
    <mergeCell ref="A17:D17"/>
    <mergeCell ref="A19:D19"/>
    <mergeCell ref="B4:C4"/>
    <mergeCell ref="B5:C5"/>
  </mergeCells>
  <conditionalFormatting sqref="F16:F68">
    <cfRule type="expression" dxfId="5" priority="1">
      <formula>IF(C16="Internal Estimate",TRUE, FALSE)</formula>
    </cfRule>
  </conditionalFormatting>
  <hyperlinks>
    <hyperlink ref="C9" r:id="rId1" xr:uid="{CA0E88EB-FFE0-45F7-8A94-61A52D374FB3}"/>
    <hyperlink ref="C10" r:id="rId2" xr:uid="{51872DC3-A173-47B4-91BC-D28713DFF79B}"/>
  </hyperlinks>
  <pageMargins left="0.5" right="0.5" top="0.75" bottom="0.75" header="0.3" footer="0.3"/>
  <pageSetup scale="77" fitToHeight="0" orientation="portrait" r:id="rId3"/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76"/>
  <sheetViews>
    <sheetView topLeftCell="A31" zoomScale="120" zoomScaleNormal="120" workbookViewId="0">
      <selection activeCell="H55" sqref="H55"/>
    </sheetView>
  </sheetViews>
  <sheetFormatPr defaultColWidth="9.140625" defaultRowHeight="15" x14ac:dyDescent="0.25"/>
  <cols>
    <col min="1" max="1" width="11" style="153" bestFit="1" customWidth="1"/>
    <col min="2" max="2" width="29.5703125" style="86" bestFit="1" customWidth="1"/>
    <col min="3" max="3" width="12.85546875" style="87" bestFit="1" customWidth="1"/>
    <col min="4" max="4" width="9.140625" style="86"/>
    <col min="5" max="5" width="8.85546875" style="86"/>
    <col min="6" max="6" width="9.140625" style="86"/>
    <col min="7" max="7" width="11.140625" style="86" bestFit="1" customWidth="1"/>
    <col min="8" max="16384" width="9.140625" style="86"/>
  </cols>
  <sheetData>
    <row r="1" spans="1:8" x14ac:dyDescent="0.25">
      <c r="B1" s="86" t="s">
        <v>35</v>
      </c>
      <c r="C1" s="154"/>
      <c r="D1" s="86" t="s">
        <v>36</v>
      </c>
      <c r="E1" s="151">
        <v>6</v>
      </c>
      <c r="F1" s="86" t="s">
        <v>37</v>
      </c>
      <c r="G1" s="169">
        <f>E1*4.334</f>
        <v>26.003999999999998</v>
      </c>
    </row>
    <row r="3" spans="1:8" x14ac:dyDescent="0.25">
      <c r="A3" s="170" t="s">
        <v>38</v>
      </c>
      <c r="B3" s="170"/>
      <c r="C3" s="170"/>
      <c r="E3" s="86" t="s">
        <v>39</v>
      </c>
      <c r="F3" s="86" t="s">
        <v>40</v>
      </c>
      <c r="G3" s="86" t="s">
        <v>41</v>
      </c>
      <c r="H3" s="86" t="s">
        <v>658</v>
      </c>
    </row>
    <row r="4" spans="1:8" x14ac:dyDescent="0.25">
      <c r="A4" s="155" t="s">
        <v>42</v>
      </c>
      <c r="B4" s="86" t="s">
        <v>43</v>
      </c>
      <c r="C4" s="150">
        <f>(E4*G4)*H4</f>
        <v>27425.118599999998</v>
      </c>
      <c r="E4">
        <f>G1</f>
        <v>26.003999999999998</v>
      </c>
      <c r="F4" s="86" t="s">
        <v>37</v>
      </c>
      <c r="G4" s="150">
        <v>7031</v>
      </c>
      <c r="H4" s="151">
        <v>0.15</v>
      </c>
    </row>
    <row r="5" spans="1:8" x14ac:dyDescent="0.25">
      <c r="A5" s="155" t="s">
        <v>44</v>
      </c>
      <c r="B5" s="86" t="s">
        <v>45</v>
      </c>
      <c r="C5" s="150">
        <f t="shared" ref="C5:C68" si="0">(E5*G5)*H5</f>
        <v>19742.236799999999</v>
      </c>
      <c r="E5">
        <f>G1</f>
        <v>26.003999999999998</v>
      </c>
      <c r="F5" s="86" t="s">
        <v>37</v>
      </c>
      <c r="G5" s="150">
        <v>3796</v>
      </c>
      <c r="H5" s="151">
        <v>0.2</v>
      </c>
    </row>
    <row r="6" spans="1:8" x14ac:dyDescent="0.25">
      <c r="A6" s="155" t="s">
        <v>46</v>
      </c>
      <c r="B6" s="86" t="s">
        <v>47</v>
      </c>
      <c r="C6" s="150">
        <f t="shared" si="0"/>
        <v>27421.217999999997</v>
      </c>
      <c r="E6">
        <f>G1</f>
        <v>26.003999999999998</v>
      </c>
      <c r="F6" s="86" t="s">
        <v>37</v>
      </c>
      <c r="G6" s="150">
        <v>4218</v>
      </c>
      <c r="H6" s="151">
        <v>0.25</v>
      </c>
    </row>
    <row r="7" spans="1:8" x14ac:dyDescent="0.25">
      <c r="A7" s="155" t="s">
        <v>48</v>
      </c>
      <c r="B7" s="86" t="s">
        <v>49</v>
      </c>
      <c r="C7" s="150">
        <f t="shared" si="0"/>
        <v>91404.06</v>
      </c>
      <c r="E7">
        <f>G1</f>
        <v>26.003999999999998</v>
      </c>
      <c r="F7" s="86" t="s">
        <v>37</v>
      </c>
      <c r="G7" s="150">
        <v>3515</v>
      </c>
      <c r="H7" s="151">
        <v>1</v>
      </c>
    </row>
    <row r="8" spans="1:8" x14ac:dyDescent="0.25">
      <c r="A8" s="156" t="s">
        <v>50</v>
      </c>
      <c r="B8" s="86" t="s">
        <v>51</v>
      </c>
      <c r="C8" s="150">
        <f t="shared" si="0"/>
        <v>0</v>
      </c>
      <c r="E8">
        <f>G1</f>
        <v>26.003999999999998</v>
      </c>
      <c r="F8" s="86" t="s">
        <v>37</v>
      </c>
      <c r="G8" s="150">
        <v>2812</v>
      </c>
      <c r="H8" s="151">
        <v>0</v>
      </c>
    </row>
    <row r="9" spans="1:8" x14ac:dyDescent="0.25">
      <c r="A9" s="153" t="s">
        <v>52</v>
      </c>
      <c r="B9" s="86" t="s">
        <v>53</v>
      </c>
      <c r="C9" s="150">
        <f t="shared" si="0"/>
        <v>0</v>
      </c>
      <c r="E9">
        <f>G1</f>
        <v>26.003999999999998</v>
      </c>
      <c r="F9" s="86" t="s">
        <v>37</v>
      </c>
      <c r="G9" s="150">
        <v>2531</v>
      </c>
      <c r="H9" s="151">
        <v>0</v>
      </c>
    </row>
    <row r="10" spans="1:8" x14ac:dyDescent="0.25">
      <c r="A10" s="153" t="s">
        <v>54</v>
      </c>
      <c r="B10" s="86" t="s">
        <v>55</v>
      </c>
      <c r="C10" s="150">
        <f t="shared" si="0"/>
        <v>0</v>
      </c>
      <c r="E10">
        <f>G1</f>
        <v>26.003999999999998</v>
      </c>
      <c r="F10" s="86" t="s">
        <v>37</v>
      </c>
      <c r="G10" s="150">
        <v>2250</v>
      </c>
      <c r="H10" s="151">
        <v>0</v>
      </c>
    </row>
    <row r="11" spans="1:8" x14ac:dyDescent="0.25">
      <c r="A11" s="153" t="s">
        <v>56</v>
      </c>
      <c r="B11" s="86" t="s">
        <v>57</v>
      </c>
      <c r="C11" s="150">
        <f t="shared" si="0"/>
        <v>0</v>
      </c>
      <c r="E11">
        <f>G1</f>
        <v>26.003999999999998</v>
      </c>
      <c r="F11" s="86" t="s">
        <v>37</v>
      </c>
      <c r="G11" s="150">
        <v>1350</v>
      </c>
      <c r="H11" s="151">
        <v>0</v>
      </c>
    </row>
    <row r="12" spans="1:8" x14ac:dyDescent="0.25">
      <c r="A12" s="153" t="s">
        <v>58</v>
      </c>
      <c r="B12" s="86" t="s">
        <v>59</v>
      </c>
      <c r="C12" s="150">
        <f t="shared" si="0"/>
        <v>0</v>
      </c>
      <c r="E12">
        <f>G1</f>
        <v>26.003999999999998</v>
      </c>
      <c r="F12" s="86" t="s">
        <v>37</v>
      </c>
      <c r="G12" s="150">
        <v>6328</v>
      </c>
      <c r="H12" s="151">
        <v>0</v>
      </c>
    </row>
    <row r="13" spans="1:8" x14ac:dyDescent="0.25">
      <c r="A13" s="153" t="s">
        <v>60</v>
      </c>
      <c r="B13" s="86" t="s">
        <v>61</v>
      </c>
      <c r="C13" s="150">
        <f t="shared" si="0"/>
        <v>0</v>
      </c>
      <c r="E13">
        <f>G1</f>
        <v>26.003999999999998</v>
      </c>
      <c r="F13" s="86" t="s">
        <v>37</v>
      </c>
      <c r="G13" s="150">
        <v>4218</v>
      </c>
      <c r="H13" s="151">
        <v>0</v>
      </c>
    </row>
    <row r="14" spans="1:8" x14ac:dyDescent="0.25">
      <c r="A14" s="153" t="s">
        <v>62</v>
      </c>
      <c r="B14" s="86" t="s">
        <v>63</v>
      </c>
      <c r="C14" s="150">
        <f t="shared" si="0"/>
        <v>91404.06</v>
      </c>
      <c r="E14">
        <f>G1</f>
        <v>26.003999999999998</v>
      </c>
      <c r="F14" s="86" t="s">
        <v>37</v>
      </c>
      <c r="G14" s="150">
        <v>3515</v>
      </c>
      <c r="H14" s="151">
        <v>1</v>
      </c>
    </row>
    <row r="15" spans="1:8" x14ac:dyDescent="0.25">
      <c r="A15" s="153" t="s">
        <v>64</v>
      </c>
      <c r="B15" s="86" t="s">
        <v>65</v>
      </c>
      <c r="C15" s="150">
        <f t="shared" si="0"/>
        <v>0</v>
      </c>
      <c r="E15">
        <f>G1</f>
        <v>26.003999999999998</v>
      </c>
      <c r="F15" s="86" t="s">
        <v>37</v>
      </c>
      <c r="G15" s="150">
        <v>2812</v>
      </c>
      <c r="H15" s="151">
        <v>0</v>
      </c>
    </row>
    <row r="16" spans="1:8" x14ac:dyDescent="0.25">
      <c r="A16" s="153" t="s">
        <v>66</v>
      </c>
      <c r="B16" s="86" t="s">
        <v>67</v>
      </c>
      <c r="C16" s="150">
        <f t="shared" si="0"/>
        <v>900</v>
      </c>
      <c r="E16">
        <f>E1</f>
        <v>6</v>
      </c>
      <c r="F16" s="86" t="s">
        <v>36</v>
      </c>
      <c r="G16" s="150">
        <v>150</v>
      </c>
      <c r="H16" s="151">
        <v>1</v>
      </c>
    </row>
    <row r="17" spans="1:8" x14ac:dyDescent="0.25">
      <c r="A17" s="153" t="s">
        <v>68</v>
      </c>
      <c r="B17" s="86" t="s">
        <v>69</v>
      </c>
      <c r="C17" s="150">
        <f t="shared" si="0"/>
        <v>525</v>
      </c>
      <c r="E17">
        <f>E1</f>
        <v>6</v>
      </c>
      <c r="F17" s="86" t="s">
        <v>36</v>
      </c>
      <c r="G17" s="150">
        <v>350</v>
      </c>
      <c r="H17" s="151">
        <v>0.25</v>
      </c>
    </row>
    <row r="18" spans="1:8" x14ac:dyDescent="0.25">
      <c r="A18" s="153" t="s">
        <v>70</v>
      </c>
      <c r="B18" s="86" t="s">
        <v>71</v>
      </c>
      <c r="C18" s="150">
        <f t="shared" si="0"/>
        <v>500</v>
      </c>
      <c r="E18">
        <v>1</v>
      </c>
      <c r="F18" s="86" t="s">
        <v>72</v>
      </c>
      <c r="G18" s="87">
        <v>500</v>
      </c>
      <c r="H18" s="151">
        <v>1</v>
      </c>
    </row>
    <row r="19" spans="1:8" x14ac:dyDescent="0.25">
      <c r="A19" s="153" t="s">
        <v>73</v>
      </c>
      <c r="B19" s="86" t="s">
        <v>74</v>
      </c>
      <c r="C19" s="150">
        <f t="shared" si="0"/>
        <v>3000</v>
      </c>
      <c r="E19">
        <f>E1</f>
        <v>6</v>
      </c>
      <c r="F19" s="86" t="s">
        <v>36</v>
      </c>
      <c r="G19" s="150">
        <v>500</v>
      </c>
      <c r="H19" s="151">
        <v>1</v>
      </c>
    </row>
    <row r="20" spans="1:8" x14ac:dyDescent="0.25">
      <c r="A20" s="153" t="s">
        <v>75</v>
      </c>
      <c r="B20" s="86" t="s">
        <v>76</v>
      </c>
      <c r="C20" s="150">
        <f t="shared" si="0"/>
        <v>3000</v>
      </c>
      <c r="E20">
        <f>E1</f>
        <v>6</v>
      </c>
      <c r="F20" s="86" t="s">
        <v>36</v>
      </c>
      <c r="G20" s="150">
        <v>500</v>
      </c>
      <c r="H20" s="151">
        <v>1</v>
      </c>
    </row>
    <row r="21" spans="1:8" x14ac:dyDescent="0.25">
      <c r="A21" s="153" t="s">
        <v>77</v>
      </c>
      <c r="B21" s="86" t="s">
        <v>78</v>
      </c>
      <c r="C21" s="150">
        <f t="shared" si="0"/>
        <v>4500</v>
      </c>
      <c r="E21">
        <f>E1</f>
        <v>6</v>
      </c>
      <c r="F21" s="86" t="s">
        <v>36</v>
      </c>
      <c r="G21" s="150">
        <v>750</v>
      </c>
      <c r="H21" s="151">
        <v>1</v>
      </c>
    </row>
    <row r="22" spans="1:8" x14ac:dyDescent="0.25">
      <c r="A22" s="153" t="s">
        <v>79</v>
      </c>
      <c r="B22" s="86" t="s">
        <v>80</v>
      </c>
      <c r="C22" s="150">
        <f t="shared" si="0"/>
        <v>0</v>
      </c>
      <c r="E22">
        <f>E1</f>
        <v>6</v>
      </c>
      <c r="F22" s="86" t="s">
        <v>36</v>
      </c>
      <c r="G22" s="150">
        <v>650</v>
      </c>
      <c r="H22" s="151">
        <v>0</v>
      </c>
    </row>
    <row r="23" spans="1:8" x14ac:dyDescent="0.25">
      <c r="A23" s="153" t="s">
        <v>81</v>
      </c>
      <c r="B23" s="86" t="s">
        <v>82</v>
      </c>
      <c r="C23" s="150">
        <f t="shared" si="0"/>
        <v>0</v>
      </c>
      <c r="F23" s="86" t="s">
        <v>72</v>
      </c>
      <c r="G23" s="87">
        <v>0</v>
      </c>
      <c r="H23" s="151">
        <v>0</v>
      </c>
    </row>
    <row r="24" spans="1:8" x14ac:dyDescent="0.25">
      <c r="A24" s="153" t="s">
        <v>83</v>
      </c>
      <c r="B24" s="86" t="s">
        <v>84</v>
      </c>
      <c r="C24" s="150">
        <f t="shared" si="0"/>
        <v>0</v>
      </c>
      <c r="F24" s="86" t="s">
        <v>85</v>
      </c>
      <c r="G24" s="150">
        <v>1.25</v>
      </c>
      <c r="H24" s="151">
        <v>0</v>
      </c>
    </row>
    <row r="25" spans="1:8" x14ac:dyDescent="0.25">
      <c r="A25" s="153" t="s">
        <v>86</v>
      </c>
      <c r="B25" s="86" t="s">
        <v>87</v>
      </c>
      <c r="C25" s="150">
        <f t="shared" si="0"/>
        <v>0</v>
      </c>
      <c r="F25" s="86" t="s">
        <v>85</v>
      </c>
      <c r="G25" s="150">
        <v>1.25</v>
      </c>
      <c r="H25" s="151">
        <v>0</v>
      </c>
    </row>
    <row r="26" spans="1:8" x14ac:dyDescent="0.25">
      <c r="A26" s="153" t="s">
        <v>88</v>
      </c>
      <c r="B26" s="86" t="s">
        <v>89</v>
      </c>
      <c r="C26" s="150">
        <f t="shared" si="0"/>
        <v>0</v>
      </c>
      <c r="E26" s="86">
        <v>1</v>
      </c>
      <c r="F26" s="86" t="s">
        <v>72</v>
      </c>
      <c r="G26" s="87"/>
      <c r="H26" s="151">
        <v>1</v>
      </c>
    </row>
    <row r="27" spans="1:8" x14ac:dyDescent="0.25">
      <c r="A27" s="153" t="s">
        <v>90</v>
      </c>
      <c r="B27" s="86" t="s">
        <v>91</v>
      </c>
      <c r="C27" s="150">
        <f t="shared" si="0"/>
        <v>0</v>
      </c>
      <c r="E27" s="86">
        <v>1</v>
      </c>
      <c r="F27" s="86" t="s">
        <v>72</v>
      </c>
      <c r="G27" s="87">
        <v>0</v>
      </c>
      <c r="H27" s="151">
        <v>0</v>
      </c>
    </row>
    <row r="28" spans="1:8" x14ac:dyDescent="0.25">
      <c r="A28" s="153" t="s">
        <v>92</v>
      </c>
      <c r="B28" s="86" t="s">
        <v>93</v>
      </c>
      <c r="C28" s="150">
        <f t="shared" si="0"/>
        <v>0</v>
      </c>
      <c r="F28" s="86" t="s">
        <v>94</v>
      </c>
      <c r="G28" s="87">
        <v>0</v>
      </c>
      <c r="H28" s="151">
        <v>0</v>
      </c>
    </row>
    <row r="29" spans="1:8" x14ac:dyDescent="0.25">
      <c r="A29" s="153" t="s">
        <v>95</v>
      </c>
      <c r="B29" s="86" t="s">
        <v>96</v>
      </c>
      <c r="C29" s="150">
        <f t="shared" si="0"/>
        <v>0</v>
      </c>
      <c r="E29" s="86">
        <v>1</v>
      </c>
      <c r="F29" s="86" t="s">
        <v>72</v>
      </c>
      <c r="G29" s="87">
        <v>0</v>
      </c>
      <c r="H29" s="151">
        <v>0</v>
      </c>
    </row>
    <row r="30" spans="1:8" x14ac:dyDescent="0.25">
      <c r="A30" s="153" t="s">
        <v>97</v>
      </c>
      <c r="B30" s="86" t="s">
        <v>98</v>
      </c>
      <c r="C30" s="150">
        <f t="shared" si="0"/>
        <v>3000</v>
      </c>
      <c r="E30">
        <f>E1</f>
        <v>6</v>
      </c>
      <c r="F30" s="86" t="s">
        <v>36</v>
      </c>
      <c r="G30" s="150">
        <v>500</v>
      </c>
      <c r="H30" s="151">
        <v>1</v>
      </c>
    </row>
    <row r="31" spans="1:8" x14ac:dyDescent="0.25">
      <c r="A31" s="153" t="s">
        <v>99</v>
      </c>
      <c r="B31" s="86" t="s">
        <v>100</v>
      </c>
      <c r="C31" s="150">
        <f t="shared" si="0"/>
        <v>0</v>
      </c>
      <c r="E31">
        <f>E1</f>
        <v>6</v>
      </c>
      <c r="F31" s="86" t="s">
        <v>36</v>
      </c>
      <c r="G31" s="87"/>
      <c r="H31" s="151">
        <v>0</v>
      </c>
    </row>
    <row r="32" spans="1:8" x14ac:dyDescent="0.25">
      <c r="A32" s="153" t="s">
        <v>101</v>
      </c>
      <c r="B32" s="86" t="s">
        <v>102</v>
      </c>
      <c r="C32" s="150">
        <f t="shared" si="0"/>
        <v>900</v>
      </c>
      <c r="E32">
        <f>E1</f>
        <v>6</v>
      </c>
      <c r="F32" s="86" t="s">
        <v>37</v>
      </c>
      <c r="G32" s="150">
        <v>150</v>
      </c>
      <c r="H32" s="151">
        <v>1</v>
      </c>
    </row>
    <row r="33" spans="1:8" x14ac:dyDescent="0.25">
      <c r="A33" s="153" t="s">
        <v>103</v>
      </c>
      <c r="B33" s="86" t="s">
        <v>104</v>
      </c>
      <c r="C33" s="150">
        <f t="shared" si="0"/>
        <v>0</v>
      </c>
      <c r="E33">
        <f>E1</f>
        <v>6</v>
      </c>
      <c r="F33" s="86" t="s">
        <v>36</v>
      </c>
      <c r="H33" s="151">
        <v>0</v>
      </c>
    </row>
    <row r="34" spans="1:8" x14ac:dyDescent="0.25">
      <c r="A34" s="153" t="s">
        <v>105</v>
      </c>
      <c r="B34" s="86" t="s">
        <v>106</v>
      </c>
      <c r="C34" s="150">
        <f t="shared" si="0"/>
        <v>5000</v>
      </c>
      <c r="E34">
        <v>1</v>
      </c>
      <c r="F34" s="86" t="s">
        <v>72</v>
      </c>
      <c r="G34" s="86">
        <v>5000</v>
      </c>
      <c r="H34" s="151">
        <v>1</v>
      </c>
    </row>
    <row r="35" spans="1:8" x14ac:dyDescent="0.25">
      <c r="A35" s="153" t="s">
        <v>107</v>
      </c>
      <c r="B35" s="86" t="s">
        <v>108</v>
      </c>
      <c r="C35" s="150">
        <f t="shared" si="0"/>
        <v>0</v>
      </c>
      <c r="E35">
        <f>E1</f>
        <v>6</v>
      </c>
      <c r="F35" s="86" t="s">
        <v>36</v>
      </c>
      <c r="G35" s="87">
        <v>0</v>
      </c>
      <c r="H35" s="151">
        <v>0</v>
      </c>
    </row>
    <row r="36" spans="1:8" x14ac:dyDescent="0.25">
      <c r="A36" s="153" t="s">
        <v>109</v>
      </c>
      <c r="B36" s="86" t="s">
        <v>110</v>
      </c>
      <c r="C36" s="150">
        <f t="shared" si="0"/>
        <v>1500</v>
      </c>
      <c r="E36">
        <f>E1</f>
        <v>6</v>
      </c>
      <c r="F36" s="86" t="s">
        <v>36</v>
      </c>
      <c r="G36" s="150">
        <v>250</v>
      </c>
      <c r="H36" s="151">
        <v>1</v>
      </c>
    </row>
    <row r="37" spans="1:8" x14ac:dyDescent="0.25">
      <c r="A37" s="153" t="s">
        <v>111</v>
      </c>
      <c r="B37" s="86" t="s">
        <v>112</v>
      </c>
      <c r="C37" s="150">
        <f t="shared" si="0"/>
        <v>0</v>
      </c>
      <c r="E37">
        <f>E1</f>
        <v>6</v>
      </c>
      <c r="F37" s="86" t="s">
        <v>36</v>
      </c>
      <c r="G37" s="87">
        <v>0</v>
      </c>
      <c r="H37" s="151">
        <v>0</v>
      </c>
    </row>
    <row r="38" spans="1:8" x14ac:dyDescent="0.25">
      <c r="A38" s="153" t="s">
        <v>113</v>
      </c>
      <c r="B38" s="86" t="s">
        <v>114</v>
      </c>
      <c r="C38" s="150">
        <f t="shared" si="0"/>
        <v>1080</v>
      </c>
      <c r="E38">
        <f>E1</f>
        <v>6</v>
      </c>
      <c r="F38" s="86" t="s">
        <v>36</v>
      </c>
      <c r="G38" s="150">
        <v>1200</v>
      </c>
      <c r="H38" s="151">
        <v>0.15</v>
      </c>
    </row>
    <row r="39" spans="1:8" x14ac:dyDescent="0.25">
      <c r="A39" s="153" t="s">
        <v>115</v>
      </c>
      <c r="B39" s="86" t="s">
        <v>116</v>
      </c>
      <c r="C39" s="150">
        <f t="shared" si="0"/>
        <v>0</v>
      </c>
      <c r="E39">
        <f>E1</f>
        <v>6</v>
      </c>
      <c r="F39" s="86" t="s">
        <v>36</v>
      </c>
      <c r="G39" s="150">
        <v>1000</v>
      </c>
      <c r="H39" s="151">
        <v>0</v>
      </c>
    </row>
    <row r="40" spans="1:8" x14ac:dyDescent="0.25">
      <c r="A40" s="153" t="s">
        <v>117</v>
      </c>
      <c r="B40" s="86" t="s">
        <v>118</v>
      </c>
      <c r="C40" s="150">
        <f t="shared" si="0"/>
        <v>2100</v>
      </c>
      <c r="E40">
        <f>E1</f>
        <v>6</v>
      </c>
      <c r="F40" s="86" t="s">
        <v>36</v>
      </c>
      <c r="G40" s="150">
        <v>350</v>
      </c>
      <c r="H40" s="151">
        <v>1</v>
      </c>
    </row>
    <row r="41" spans="1:8" x14ac:dyDescent="0.25">
      <c r="A41" s="153" t="s">
        <v>119</v>
      </c>
      <c r="B41" s="86" t="s">
        <v>120</v>
      </c>
      <c r="C41" s="150">
        <f t="shared" si="0"/>
        <v>0</v>
      </c>
      <c r="E41">
        <f>E1</f>
        <v>6</v>
      </c>
      <c r="F41" s="86" t="s">
        <v>36</v>
      </c>
      <c r="G41" s="150">
        <v>450</v>
      </c>
      <c r="H41" s="151">
        <v>0</v>
      </c>
    </row>
    <row r="42" spans="1:8" x14ac:dyDescent="0.25">
      <c r="A42" s="153" t="s">
        <v>121</v>
      </c>
      <c r="B42" s="86" t="s">
        <v>122</v>
      </c>
      <c r="C42" s="150">
        <f t="shared" si="0"/>
        <v>2100</v>
      </c>
      <c r="E42">
        <f>E1</f>
        <v>6</v>
      </c>
      <c r="F42" s="86" t="s">
        <v>36</v>
      </c>
      <c r="G42" s="150">
        <v>350</v>
      </c>
      <c r="H42" s="151">
        <v>1</v>
      </c>
    </row>
    <row r="43" spans="1:8" x14ac:dyDescent="0.25">
      <c r="A43" s="153" t="s">
        <v>123</v>
      </c>
      <c r="B43" s="86" t="s">
        <v>124</v>
      </c>
      <c r="C43" s="150">
        <f t="shared" si="0"/>
        <v>0</v>
      </c>
      <c r="E43" s="86">
        <v>1</v>
      </c>
      <c r="F43" s="86" t="s">
        <v>72</v>
      </c>
      <c r="G43" s="135"/>
      <c r="H43" s="151">
        <v>0</v>
      </c>
    </row>
    <row r="44" spans="1:8" x14ac:dyDescent="0.25">
      <c r="A44" s="153" t="s">
        <v>125</v>
      </c>
      <c r="B44" s="86" t="s">
        <v>126</v>
      </c>
      <c r="C44" s="150">
        <f t="shared" si="0"/>
        <v>0</v>
      </c>
      <c r="E44" s="86">
        <v>1</v>
      </c>
      <c r="F44" s="86" t="s">
        <v>72</v>
      </c>
      <c r="G44" s="135"/>
      <c r="H44" s="151">
        <v>0</v>
      </c>
    </row>
    <row r="45" spans="1:8" x14ac:dyDescent="0.25">
      <c r="A45" s="153" t="s">
        <v>127</v>
      </c>
      <c r="B45" s="86" t="s">
        <v>128</v>
      </c>
      <c r="C45" s="150">
        <f t="shared" si="0"/>
        <v>0</v>
      </c>
      <c r="E45" s="86">
        <v>1</v>
      </c>
      <c r="F45" s="86" t="s">
        <v>72</v>
      </c>
      <c r="G45" s="135"/>
      <c r="H45" s="151">
        <v>0</v>
      </c>
    </row>
    <row r="46" spans="1:8" x14ac:dyDescent="0.25">
      <c r="A46" s="153" t="s">
        <v>129</v>
      </c>
      <c r="B46" s="86" t="s">
        <v>130</v>
      </c>
      <c r="C46" s="150">
        <f t="shared" si="0"/>
        <v>0</v>
      </c>
      <c r="E46" s="86">
        <v>1</v>
      </c>
      <c r="F46" s="86" t="s">
        <v>72</v>
      </c>
      <c r="G46" s="135"/>
      <c r="H46" s="151">
        <v>0</v>
      </c>
    </row>
    <row r="47" spans="1:8" x14ac:dyDescent="0.25">
      <c r="A47" s="153" t="s">
        <v>131</v>
      </c>
      <c r="B47" s="86" t="s">
        <v>132</v>
      </c>
      <c r="C47" s="150">
        <f t="shared" si="0"/>
        <v>500</v>
      </c>
      <c r="E47" s="86">
        <v>1</v>
      </c>
      <c r="F47" s="86" t="s">
        <v>72</v>
      </c>
      <c r="G47" s="135">
        <v>500</v>
      </c>
      <c r="H47" s="151">
        <v>1</v>
      </c>
    </row>
    <row r="48" spans="1:8" x14ac:dyDescent="0.25">
      <c r="A48" s="153" t="s">
        <v>133</v>
      </c>
      <c r="B48" s="86" t="s">
        <v>134</v>
      </c>
      <c r="C48" s="150">
        <f t="shared" si="0"/>
        <v>0</v>
      </c>
      <c r="E48" s="86">
        <v>1</v>
      </c>
      <c r="F48" s="86" t="s">
        <v>135</v>
      </c>
      <c r="G48" s="135"/>
      <c r="H48" s="151">
        <v>0</v>
      </c>
    </row>
    <row r="49" spans="1:8" x14ac:dyDescent="0.25">
      <c r="A49" s="153" t="s">
        <v>136</v>
      </c>
      <c r="B49" s="86" t="s">
        <v>137</v>
      </c>
      <c r="C49" s="150">
        <f t="shared" si="0"/>
        <v>0</v>
      </c>
      <c r="E49" s="86">
        <v>1</v>
      </c>
      <c r="F49" s="86" t="s">
        <v>72</v>
      </c>
      <c r="G49" s="135"/>
      <c r="H49" s="151">
        <v>0</v>
      </c>
    </row>
    <row r="50" spans="1:8" x14ac:dyDescent="0.25">
      <c r="A50" s="153" t="s">
        <v>138</v>
      </c>
      <c r="B50" s="86" t="s">
        <v>139</v>
      </c>
      <c r="C50" s="150">
        <f t="shared" si="0"/>
        <v>0</v>
      </c>
      <c r="E50" s="86">
        <v>1</v>
      </c>
      <c r="F50" s="86" t="s">
        <v>72</v>
      </c>
      <c r="G50" s="135"/>
      <c r="H50" s="151">
        <v>0</v>
      </c>
    </row>
    <row r="51" spans="1:8" x14ac:dyDescent="0.25">
      <c r="A51" s="153" t="s">
        <v>140</v>
      </c>
      <c r="B51" s="86" t="s">
        <v>141</v>
      </c>
      <c r="C51" s="150">
        <f t="shared" si="0"/>
        <v>0</v>
      </c>
      <c r="E51" s="86">
        <v>1</v>
      </c>
      <c r="F51" s="86" t="s">
        <v>72</v>
      </c>
      <c r="G51" s="135"/>
      <c r="H51" s="151">
        <v>0</v>
      </c>
    </row>
    <row r="52" spans="1:8" x14ac:dyDescent="0.25">
      <c r="A52" s="153" t="s">
        <v>142</v>
      </c>
      <c r="B52" s="86" t="s">
        <v>143</v>
      </c>
      <c r="C52" s="150">
        <f t="shared" si="0"/>
        <v>1500</v>
      </c>
      <c r="E52">
        <f>E1</f>
        <v>6</v>
      </c>
      <c r="F52" s="86" t="s">
        <v>36</v>
      </c>
      <c r="G52" s="157">
        <v>1000</v>
      </c>
      <c r="H52" s="151">
        <v>0.25</v>
      </c>
    </row>
    <row r="53" spans="1:8" x14ac:dyDescent="0.25">
      <c r="A53" s="153" t="s">
        <v>144</v>
      </c>
      <c r="B53" s="86" t="s">
        <v>145</v>
      </c>
      <c r="C53" s="150">
        <f t="shared" si="0"/>
        <v>0</v>
      </c>
      <c r="E53">
        <v>1</v>
      </c>
      <c r="F53" s="86" t="s">
        <v>72</v>
      </c>
      <c r="G53" s="135"/>
      <c r="H53" s="151">
        <v>0</v>
      </c>
    </row>
    <row r="54" spans="1:8" x14ac:dyDescent="0.25">
      <c r="A54" s="153" t="s">
        <v>146</v>
      </c>
      <c r="B54" s="86" t="s">
        <v>147</v>
      </c>
      <c r="C54" s="150">
        <f t="shared" si="0"/>
        <v>0</v>
      </c>
      <c r="E54">
        <v>1</v>
      </c>
      <c r="F54" s="86" t="s">
        <v>72</v>
      </c>
      <c r="G54" s="135"/>
      <c r="H54" s="151">
        <v>0</v>
      </c>
    </row>
    <row r="55" spans="1:8" x14ac:dyDescent="0.25">
      <c r="A55" s="153" t="s">
        <v>148</v>
      </c>
      <c r="B55" s="86" t="s">
        <v>149</v>
      </c>
      <c r="C55" s="150">
        <f t="shared" si="0"/>
        <v>0</v>
      </c>
      <c r="E55">
        <f>E1</f>
        <v>6</v>
      </c>
      <c r="F55" s="86" t="s">
        <v>36</v>
      </c>
      <c r="G55" s="157">
        <v>4000</v>
      </c>
      <c r="H55" s="151">
        <v>0</v>
      </c>
    </row>
    <row r="56" spans="1:8" x14ac:dyDescent="0.25">
      <c r="A56" s="153" t="s">
        <v>150</v>
      </c>
      <c r="B56" s="86" t="s">
        <v>151</v>
      </c>
      <c r="C56" s="150">
        <f t="shared" si="0"/>
        <v>0</v>
      </c>
      <c r="E56">
        <f>E1</f>
        <v>6</v>
      </c>
      <c r="F56" s="86" t="s">
        <v>36</v>
      </c>
      <c r="G56" s="157">
        <v>750</v>
      </c>
      <c r="H56" s="151">
        <v>0</v>
      </c>
    </row>
    <row r="57" spans="1:8" x14ac:dyDescent="0.25">
      <c r="A57" s="153" t="s">
        <v>152</v>
      </c>
      <c r="B57" s="86" t="s">
        <v>153</v>
      </c>
      <c r="C57" s="150">
        <f t="shared" si="0"/>
        <v>0</v>
      </c>
      <c r="E57">
        <f>E1</f>
        <v>6</v>
      </c>
      <c r="F57" s="86" t="s">
        <v>36</v>
      </c>
      <c r="G57" s="157">
        <v>300</v>
      </c>
      <c r="H57" s="151">
        <v>0</v>
      </c>
    </row>
    <row r="58" spans="1:8" x14ac:dyDescent="0.25">
      <c r="A58" s="153" t="s">
        <v>154</v>
      </c>
      <c r="B58" s="86" t="s">
        <v>155</v>
      </c>
      <c r="C58" s="150">
        <f t="shared" si="0"/>
        <v>0</v>
      </c>
      <c r="E58">
        <v>1</v>
      </c>
      <c r="F58" s="86" t="s">
        <v>72</v>
      </c>
      <c r="G58" s="135"/>
      <c r="H58" s="151">
        <v>0</v>
      </c>
    </row>
    <row r="59" spans="1:8" x14ac:dyDescent="0.25">
      <c r="A59" s="153" t="s">
        <v>156</v>
      </c>
      <c r="B59" s="86" t="s">
        <v>157</v>
      </c>
      <c r="C59" s="150">
        <f t="shared" si="0"/>
        <v>0</v>
      </c>
      <c r="E59">
        <f>E1</f>
        <v>6</v>
      </c>
      <c r="F59" s="86" t="s">
        <v>36</v>
      </c>
      <c r="G59" s="157">
        <v>250</v>
      </c>
      <c r="H59" s="151">
        <v>0</v>
      </c>
    </row>
    <row r="60" spans="1:8" x14ac:dyDescent="0.25">
      <c r="A60" s="153" t="s">
        <v>158</v>
      </c>
      <c r="B60" s="86" t="s">
        <v>159</v>
      </c>
      <c r="C60" s="150">
        <f t="shared" si="0"/>
        <v>0</v>
      </c>
      <c r="E60">
        <v>1</v>
      </c>
      <c r="F60" s="86" t="s">
        <v>72</v>
      </c>
      <c r="G60" s="135"/>
      <c r="H60" s="151">
        <v>0</v>
      </c>
    </row>
    <row r="61" spans="1:8" x14ac:dyDescent="0.25">
      <c r="A61" s="153" t="s">
        <v>160</v>
      </c>
      <c r="B61" s="86" t="s">
        <v>161</v>
      </c>
      <c r="C61" s="150">
        <f t="shared" si="0"/>
        <v>0</v>
      </c>
      <c r="E61">
        <v>1</v>
      </c>
      <c r="F61" s="86" t="s">
        <v>72</v>
      </c>
      <c r="G61" s="135"/>
      <c r="H61" s="151">
        <v>0</v>
      </c>
    </row>
    <row r="62" spans="1:8" x14ac:dyDescent="0.25">
      <c r="A62" s="153" t="s">
        <v>162</v>
      </c>
      <c r="B62" s="86" t="s">
        <v>163</v>
      </c>
      <c r="C62" s="150">
        <f t="shared" si="0"/>
        <v>0</v>
      </c>
      <c r="E62">
        <f>E1</f>
        <v>6</v>
      </c>
      <c r="F62" s="86" t="s">
        <v>36</v>
      </c>
      <c r="G62" s="157">
        <v>1000</v>
      </c>
      <c r="H62" s="151">
        <v>0</v>
      </c>
    </row>
    <row r="63" spans="1:8" x14ac:dyDescent="0.25">
      <c r="A63" s="153" t="s">
        <v>164</v>
      </c>
      <c r="B63" s="86" t="s">
        <v>165</v>
      </c>
      <c r="C63" s="150">
        <f t="shared" si="0"/>
        <v>0</v>
      </c>
      <c r="E63">
        <f>E1</f>
        <v>6</v>
      </c>
      <c r="F63" s="86" t="s">
        <v>36</v>
      </c>
      <c r="G63" s="157">
        <v>500</v>
      </c>
      <c r="H63" s="151">
        <v>0</v>
      </c>
    </row>
    <row r="64" spans="1:8" x14ac:dyDescent="0.25">
      <c r="A64" s="153" t="s">
        <v>166</v>
      </c>
      <c r="B64" s="86" t="s">
        <v>167</v>
      </c>
      <c r="C64" s="150">
        <f t="shared" si="0"/>
        <v>0</v>
      </c>
      <c r="E64">
        <f>E1</f>
        <v>6</v>
      </c>
      <c r="F64" s="86" t="s">
        <v>36</v>
      </c>
      <c r="G64" s="157">
        <v>1000</v>
      </c>
      <c r="H64" s="151"/>
    </row>
    <row r="65" spans="1:8" x14ac:dyDescent="0.25">
      <c r="A65" s="153" t="s">
        <v>168</v>
      </c>
      <c r="B65" s="86" t="s">
        <v>169</v>
      </c>
      <c r="C65" s="150">
        <f t="shared" si="0"/>
        <v>0</v>
      </c>
      <c r="E65">
        <f>E1</f>
        <v>6</v>
      </c>
      <c r="F65" s="86" t="s">
        <v>36</v>
      </c>
      <c r="G65" s="135"/>
      <c r="H65" s="151">
        <v>0</v>
      </c>
    </row>
    <row r="66" spans="1:8" x14ac:dyDescent="0.25">
      <c r="A66" s="153" t="s">
        <v>170</v>
      </c>
      <c r="B66" s="86" t="s">
        <v>171</v>
      </c>
      <c r="C66" s="150">
        <f t="shared" si="0"/>
        <v>0</v>
      </c>
      <c r="F66" s="86" t="s">
        <v>94</v>
      </c>
      <c r="G66" s="157">
        <v>750</v>
      </c>
      <c r="H66" s="151"/>
    </row>
    <row r="67" spans="1:8" x14ac:dyDescent="0.25">
      <c r="A67" s="153" t="s">
        <v>172</v>
      </c>
      <c r="B67" s="86" t="s">
        <v>15</v>
      </c>
      <c r="C67" s="150">
        <f t="shared" si="0"/>
        <v>0</v>
      </c>
      <c r="F67" s="86" t="s">
        <v>85</v>
      </c>
      <c r="G67" s="157">
        <v>0.75</v>
      </c>
      <c r="H67" s="151">
        <v>0</v>
      </c>
    </row>
    <row r="68" spans="1:8" x14ac:dyDescent="0.25">
      <c r="A68" s="153" t="s">
        <v>173</v>
      </c>
      <c r="B68" s="86" t="s">
        <v>174</v>
      </c>
      <c r="C68" s="150">
        <f t="shared" si="0"/>
        <v>0</v>
      </c>
      <c r="E68">
        <f>E1</f>
        <v>6</v>
      </c>
      <c r="F68" s="86" t="s">
        <v>36</v>
      </c>
      <c r="G68" s="157">
        <v>1000</v>
      </c>
      <c r="H68" s="151">
        <v>0</v>
      </c>
    </row>
    <row r="69" spans="1:8" x14ac:dyDescent="0.25">
      <c r="A69" s="153" t="s">
        <v>175</v>
      </c>
      <c r="B69" s="86" t="s">
        <v>176</v>
      </c>
      <c r="C69" s="150">
        <f t="shared" ref="C69:C74" si="1">(E69*G69)*H69</f>
        <v>0</v>
      </c>
      <c r="F69" s="86" t="s">
        <v>85</v>
      </c>
      <c r="G69" s="135"/>
      <c r="H69" s="151">
        <v>0</v>
      </c>
    </row>
    <row r="70" spans="1:8" x14ac:dyDescent="0.25">
      <c r="A70" s="153" t="s">
        <v>177</v>
      </c>
      <c r="B70" s="86" t="s">
        <v>178</v>
      </c>
      <c r="C70" s="150">
        <f t="shared" si="1"/>
        <v>0</v>
      </c>
      <c r="E70">
        <v>1</v>
      </c>
      <c r="F70" s="86" t="s">
        <v>72</v>
      </c>
      <c r="G70" s="135"/>
      <c r="H70" s="151">
        <v>0</v>
      </c>
    </row>
    <row r="71" spans="1:8" x14ac:dyDescent="0.25">
      <c r="A71" s="153" t="s">
        <v>179</v>
      </c>
      <c r="B71" s="86" t="s">
        <v>180</v>
      </c>
      <c r="C71" s="150">
        <f t="shared" si="1"/>
        <v>0</v>
      </c>
      <c r="E71">
        <v>1</v>
      </c>
      <c r="F71" s="86" t="s">
        <v>72</v>
      </c>
      <c r="G71" s="135"/>
      <c r="H71" s="151">
        <v>0</v>
      </c>
    </row>
    <row r="72" spans="1:8" x14ac:dyDescent="0.25">
      <c r="A72" s="153" t="s">
        <v>181</v>
      </c>
      <c r="B72" s="86" t="s">
        <v>182</v>
      </c>
      <c r="C72" s="150">
        <f t="shared" si="1"/>
        <v>0</v>
      </c>
      <c r="E72">
        <v>1</v>
      </c>
      <c r="F72" s="86" t="s">
        <v>72</v>
      </c>
      <c r="G72" s="157">
        <v>500</v>
      </c>
      <c r="H72" s="151">
        <v>0</v>
      </c>
    </row>
    <row r="73" spans="1:8" x14ac:dyDescent="0.25">
      <c r="A73" s="153" t="s">
        <v>183</v>
      </c>
      <c r="B73" s="86" t="s">
        <v>184</v>
      </c>
      <c r="C73" s="150">
        <f t="shared" si="1"/>
        <v>0</v>
      </c>
      <c r="E73">
        <v>1</v>
      </c>
      <c r="F73" s="86" t="s">
        <v>72</v>
      </c>
      <c r="G73" s="135"/>
      <c r="H73" s="151">
        <v>0</v>
      </c>
    </row>
    <row r="74" spans="1:8" x14ac:dyDescent="0.25">
      <c r="A74" s="153" t="s">
        <v>185</v>
      </c>
      <c r="B74" s="86" t="s">
        <v>186</v>
      </c>
      <c r="C74" s="150">
        <f t="shared" si="1"/>
        <v>0</v>
      </c>
      <c r="E74">
        <v>1</v>
      </c>
      <c r="F74" s="86" t="s">
        <v>72</v>
      </c>
      <c r="G74" s="135"/>
      <c r="H74" s="151">
        <v>0</v>
      </c>
    </row>
    <row r="75" spans="1:8" x14ac:dyDescent="0.25">
      <c r="C75" s="150"/>
    </row>
    <row r="76" spans="1:8" x14ac:dyDescent="0.25">
      <c r="A76" s="171" t="s">
        <v>4</v>
      </c>
      <c r="B76" s="171"/>
      <c r="C76" s="150">
        <f>ROUNDUP(SUM(C4:C74),0)</f>
        <v>287502</v>
      </c>
    </row>
  </sheetData>
  <mergeCells count="2">
    <mergeCell ref="A3:C3"/>
    <mergeCell ref="A76:B76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43FC00-E61F-4154-B0AB-F13AC9E8CDF0}">
  <sheetPr codeName="Sheet4"/>
  <dimension ref="A1:F324"/>
  <sheetViews>
    <sheetView zoomScale="70" zoomScaleNormal="70" workbookViewId="0">
      <pane ySplit="1" topLeftCell="A277" activePane="bottomLeft" state="frozen"/>
      <selection pane="bottomLeft" activeCell="H310" sqref="H310"/>
    </sheetView>
  </sheetViews>
  <sheetFormatPr defaultColWidth="8.85546875" defaultRowHeight="15" outlineLevelRow="1" x14ac:dyDescent="0.25"/>
  <cols>
    <col min="1" max="1" width="16.5703125" style="86" bestFit="1" customWidth="1"/>
    <col min="2" max="2" width="20.85546875" style="86" customWidth="1"/>
    <col min="3" max="3" width="23.42578125" style="86" bestFit="1" customWidth="1"/>
    <col min="4" max="4" width="19.85546875" style="87" customWidth="1"/>
    <col min="5" max="5" width="10.42578125" style="86" bestFit="1" customWidth="1"/>
    <col min="6" max="16384" width="8.85546875" style="86"/>
  </cols>
  <sheetData>
    <row r="1" spans="1:5" ht="26.25" x14ac:dyDescent="0.4">
      <c r="A1" s="109" t="s">
        <v>239</v>
      </c>
      <c r="B1" s="109" t="s">
        <v>187</v>
      </c>
      <c r="C1" s="109" t="s">
        <v>654</v>
      </c>
      <c r="D1" s="110" t="s">
        <v>657</v>
      </c>
      <c r="E1" s="109" t="s">
        <v>655</v>
      </c>
    </row>
    <row r="2" spans="1:5" s="89" customFormat="1" ht="18.75" collapsed="1" x14ac:dyDescent="0.3">
      <c r="A2" s="88" t="s">
        <v>591</v>
      </c>
      <c r="B2" s="196" t="s">
        <v>592</v>
      </c>
      <c r="C2" s="197"/>
      <c r="D2" s="197"/>
      <c r="E2" s="197"/>
    </row>
    <row r="3" spans="1:5" outlineLevel="1" x14ac:dyDescent="0.25">
      <c r="A3" s="90" t="s">
        <v>193</v>
      </c>
      <c r="B3" s="91" t="s">
        <v>593</v>
      </c>
    </row>
    <row r="4" spans="1:5" outlineLevel="1" x14ac:dyDescent="0.25">
      <c r="A4" s="90"/>
      <c r="B4" s="91" t="s">
        <v>659</v>
      </c>
    </row>
    <row r="5" spans="1:5" outlineLevel="1" x14ac:dyDescent="0.25">
      <c r="A5" s="90"/>
      <c r="B5" s="91"/>
    </row>
    <row r="6" spans="1:5" outlineLevel="1" x14ac:dyDescent="0.25">
      <c r="A6" s="90"/>
      <c r="B6" s="91"/>
    </row>
    <row r="7" spans="1:5" outlineLevel="1" x14ac:dyDescent="0.25">
      <c r="A7" s="90"/>
      <c r="B7" s="91"/>
    </row>
    <row r="8" spans="1:5" outlineLevel="1" x14ac:dyDescent="0.25">
      <c r="A8" s="90"/>
      <c r="B8" s="91"/>
    </row>
    <row r="9" spans="1:5" outlineLevel="1" x14ac:dyDescent="0.25">
      <c r="A9" s="90"/>
      <c r="B9" s="91"/>
    </row>
    <row r="10" spans="1:5" outlineLevel="1" x14ac:dyDescent="0.25">
      <c r="A10" s="90"/>
      <c r="B10" s="91"/>
    </row>
    <row r="11" spans="1:5" outlineLevel="1" x14ac:dyDescent="0.25">
      <c r="A11" s="90"/>
      <c r="B11" s="91"/>
    </row>
    <row r="12" spans="1:5" outlineLevel="1" x14ac:dyDescent="0.25">
      <c r="A12" s="90"/>
      <c r="B12" s="91"/>
    </row>
    <row r="13" spans="1:5" outlineLevel="1" x14ac:dyDescent="0.25">
      <c r="A13" s="194" t="s">
        <v>4</v>
      </c>
      <c r="B13" s="195"/>
      <c r="C13" s="92"/>
      <c r="D13" s="96">
        <f>SUM(D3:D12)</f>
        <v>0</v>
      </c>
      <c r="E13" s="92"/>
    </row>
    <row r="14" spans="1:5" s="89" customFormat="1" ht="18.75" x14ac:dyDescent="0.3">
      <c r="A14" s="88" t="s">
        <v>594</v>
      </c>
      <c r="B14" s="196" t="s">
        <v>595</v>
      </c>
      <c r="C14" s="197"/>
      <c r="D14" s="197"/>
      <c r="E14" s="197"/>
    </row>
    <row r="15" spans="1:5" outlineLevel="1" x14ac:dyDescent="0.25">
      <c r="A15" s="90" t="s">
        <v>241</v>
      </c>
      <c r="B15" s="91" t="s">
        <v>242</v>
      </c>
    </row>
    <row r="16" spans="1:5" outlineLevel="1" x14ac:dyDescent="0.25">
      <c r="A16" s="90"/>
      <c r="B16" s="91"/>
    </row>
    <row r="17" spans="1:5" outlineLevel="1" x14ac:dyDescent="0.25">
      <c r="A17" s="90"/>
      <c r="B17" s="91"/>
    </row>
    <row r="18" spans="1:5" outlineLevel="1" x14ac:dyDescent="0.25">
      <c r="A18" s="90"/>
      <c r="B18" s="91"/>
    </row>
    <row r="19" spans="1:5" outlineLevel="1" x14ac:dyDescent="0.25">
      <c r="A19" s="90"/>
      <c r="B19" s="91"/>
    </row>
    <row r="20" spans="1:5" outlineLevel="1" x14ac:dyDescent="0.25">
      <c r="A20" s="90"/>
      <c r="B20" s="91"/>
    </row>
    <row r="21" spans="1:5" outlineLevel="1" x14ac:dyDescent="0.25">
      <c r="A21" s="90"/>
      <c r="B21" s="91"/>
    </row>
    <row r="22" spans="1:5" outlineLevel="1" x14ac:dyDescent="0.25">
      <c r="A22" s="90"/>
      <c r="B22" s="91"/>
    </row>
    <row r="23" spans="1:5" outlineLevel="1" x14ac:dyDescent="0.25">
      <c r="A23" s="90"/>
      <c r="B23" s="91"/>
    </row>
    <row r="24" spans="1:5" outlineLevel="1" x14ac:dyDescent="0.25">
      <c r="A24" s="90"/>
      <c r="B24" s="91"/>
    </row>
    <row r="25" spans="1:5" outlineLevel="1" x14ac:dyDescent="0.25">
      <c r="A25" s="90"/>
      <c r="B25" s="91"/>
    </row>
    <row r="26" spans="1:5" outlineLevel="1" x14ac:dyDescent="0.25">
      <c r="A26" s="194" t="s">
        <v>4</v>
      </c>
      <c r="B26" s="195"/>
      <c r="C26" s="92"/>
      <c r="D26" s="96">
        <f>SUM(D15:D25)</f>
        <v>0</v>
      </c>
      <c r="E26" s="92"/>
    </row>
    <row r="27" spans="1:5" s="89" customFormat="1" ht="18.75" x14ac:dyDescent="0.3">
      <c r="A27" s="88" t="s">
        <v>596</v>
      </c>
      <c r="B27" s="196" t="s">
        <v>9</v>
      </c>
      <c r="C27" s="197"/>
      <c r="D27" s="197"/>
      <c r="E27" s="197"/>
    </row>
    <row r="28" spans="1:5" outlineLevel="1" x14ac:dyDescent="0.25">
      <c r="A28" s="90" t="s">
        <v>196</v>
      </c>
      <c r="B28" s="91" t="s">
        <v>243</v>
      </c>
    </row>
    <row r="29" spans="1:5" outlineLevel="1" x14ac:dyDescent="0.25">
      <c r="A29" s="90" t="s">
        <v>244</v>
      </c>
      <c r="B29" s="91" t="s">
        <v>245</v>
      </c>
    </row>
    <row r="30" spans="1:5" outlineLevel="1" x14ac:dyDescent="0.25">
      <c r="A30" s="90" t="s">
        <v>246</v>
      </c>
      <c r="B30" s="91" t="s">
        <v>247</v>
      </c>
    </row>
    <row r="31" spans="1:5" outlineLevel="1" x14ac:dyDescent="0.25">
      <c r="A31" s="90" t="s">
        <v>248</v>
      </c>
      <c r="B31" s="91" t="s">
        <v>249</v>
      </c>
    </row>
    <row r="32" spans="1:5" outlineLevel="1" x14ac:dyDescent="0.25">
      <c r="A32" s="90" t="s">
        <v>250</v>
      </c>
      <c r="B32" s="91" t="s">
        <v>251</v>
      </c>
    </row>
    <row r="33" spans="1:5" outlineLevel="1" x14ac:dyDescent="0.25">
      <c r="A33" s="194" t="s">
        <v>4</v>
      </c>
      <c r="B33" s="195"/>
      <c r="C33" s="92"/>
      <c r="D33" s="96">
        <f>SUM(D28:D32)</f>
        <v>0</v>
      </c>
      <c r="E33" s="92"/>
    </row>
    <row r="34" spans="1:5" s="89" customFormat="1" ht="18.75" x14ac:dyDescent="0.3">
      <c r="A34" s="88" t="s">
        <v>597</v>
      </c>
      <c r="B34" s="196" t="s">
        <v>598</v>
      </c>
      <c r="C34" s="197"/>
      <c r="D34" s="197"/>
      <c r="E34" s="197"/>
    </row>
    <row r="35" spans="1:5" outlineLevel="1" x14ac:dyDescent="0.25">
      <c r="A35" s="90" t="s">
        <v>252</v>
      </c>
      <c r="B35" s="91" t="s">
        <v>253</v>
      </c>
    </row>
    <row r="36" spans="1:5" outlineLevel="1" x14ac:dyDescent="0.25">
      <c r="A36" s="90" t="s">
        <v>198</v>
      </c>
      <c r="B36" s="91" t="s">
        <v>254</v>
      </c>
    </row>
    <row r="37" spans="1:5" outlineLevel="1" x14ac:dyDescent="0.25">
      <c r="A37" s="90" t="s">
        <v>255</v>
      </c>
      <c r="B37" s="91" t="s">
        <v>256</v>
      </c>
    </row>
    <row r="38" spans="1:5" outlineLevel="1" x14ac:dyDescent="0.25">
      <c r="A38" s="90" t="s">
        <v>257</v>
      </c>
      <c r="B38" s="91" t="s">
        <v>258</v>
      </c>
    </row>
    <row r="39" spans="1:5" outlineLevel="1" x14ac:dyDescent="0.25">
      <c r="A39" s="90" t="s">
        <v>259</v>
      </c>
      <c r="B39" s="91" t="s">
        <v>260</v>
      </c>
    </row>
    <row r="40" spans="1:5" outlineLevel="1" x14ac:dyDescent="0.25">
      <c r="A40" s="90" t="s">
        <v>261</v>
      </c>
      <c r="B40" s="91" t="s">
        <v>262</v>
      </c>
    </row>
    <row r="41" spans="1:5" outlineLevel="1" x14ac:dyDescent="0.25">
      <c r="A41" s="90" t="s">
        <v>263</v>
      </c>
      <c r="B41" s="91" t="s">
        <v>264</v>
      </c>
    </row>
    <row r="42" spans="1:5" outlineLevel="1" x14ac:dyDescent="0.25">
      <c r="A42" s="90" t="s">
        <v>265</v>
      </c>
      <c r="B42" s="91" t="s">
        <v>266</v>
      </c>
    </row>
    <row r="43" spans="1:5" outlineLevel="1" x14ac:dyDescent="0.25">
      <c r="A43" s="90" t="s">
        <v>267</v>
      </c>
      <c r="B43" s="91" t="s">
        <v>268</v>
      </c>
    </row>
    <row r="44" spans="1:5" outlineLevel="1" x14ac:dyDescent="0.25">
      <c r="A44" s="90" t="s">
        <v>269</v>
      </c>
      <c r="B44" s="91" t="s">
        <v>270</v>
      </c>
    </row>
    <row r="45" spans="1:5" outlineLevel="1" x14ac:dyDescent="0.25">
      <c r="A45" s="90" t="s">
        <v>271</v>
      </c>
      <c r="B45" s="91" t="s">
        <v>272</v>
      </c>
    </row>
    <row r="46" spans="1:5" outlineLevel="1" x14ac:dyDescent="0.25">
      <c r="A46" s="194" t="s">
        <v>4</v>
      </c>
      <c r="B46" s="195"/>
      <c r="C46" s="92"/>
      <c r="D46" s="96">
        <f>SUM(D35:D45)</f>
        <v>0</v>
      </c>
      <c r="E46" s="92"/>
    </row>
    <row r="47" spans="1:5" ht="18.75" x14ac:dyDescent="0.3">
      <c r="A47" s="88" t="s">
        <v>599</v>
      </c>
      <c r="B47" s="196" t="s">
        <v>600</v>
      </c>
      <c r="C47" s="197"/>
      <c r="D47" s="197"/>
      <c r="E47" s="197"/>
    </row>
    <row r="48" spans="1:5" outlineLevel="1" x14ac:dyDescent="0.25">
      <c r="A48" s="90" t="s">
        <v>273</v>
      </c>
      <c r="B48" s="91" t="s">
        <v>274</v>
      </c>
    </row>
    <row r="49" spans="1:5" outlineLevel="1" x14ac:dyDescent="0.25">
      <c r="A49" s="90"/>
      <c r="B49" s="91" t="s">
        <v>660</v>
      </c>
    </row>
    <row r="50" spans="1:5" outlineLevel="1" x14ac:dyDescent="0.25">
      <c r="A50" s="90" t="s">
        <v>200</v>
      </c>
      <c r="B50" s="91" t="s">
        <v>275</v>
      </c>
    </row>
    <row r="51" spans="1:5" outlineLevel="1" x14ac:dyDescent="0.25">
      <c r="A51" s="90"/>
      <c r="B51" s="91" t="s">
        <v>661</v>
      </c>
    </row>
    <row r="52" spans="1:5" outlineLevel="1" x14ac:dyDescent="0.25">
      <c r="A52" s="90"/>
      <c r="B52" s="91"/>
    </row>
    <row r="53" spans="1:5" outlineLevel="1" x14ac:dyDescent="0.25">
      <c r="A53" s="194" t="s">
        <v>4</v>
      </c>
      <c r="B53" s="195"/>
      <c r="C53" s="92"/>
      <c r="D53" s="96">
        <f>SUM(D48:D52)</f>
        <v>0</v>
      </c>
      <c r="E53" s="92"/>
    </row>
    <row r="54" spans="1:5" s="89" customFormat="1" ht="18.75" x14ac:dyDescent="0.3">
      <c r="A54" s="88" t="s">
        <v>601</v>
      </c>
      <c r="B54" s="196" t="s">
        <v>602</v>
      </c>
      <c r="C54" s="197"/>
      <c r="D54" s="197"/>
      <c r="E54" s="197"/>
    </row>
    <row r="55" spans="1:5" outlineLevel="1" x14ac:dyDescent="0.25">
      <c r="A55" s="90"/>
      <c r="B55" s="91"/>
    </row>
    <row r="56" spans="1:5" outlineLevel="1" x14ac:dyDescent="0.25">
      <c r="A56" s="90" t="s">
        <v>276</v>
      </c>
      <c r="B56" s="91" t="s">
        <v>277</v>
      </c>
    </row>
    <row r="57" spans="1:5" outlineLevel="1" x14ac:dyDescent="0.25">
      <c r="A57" s="90"/>
      <c r="B57" s="91" t="s">
        <v>663</v>
      </c>
    </row>
    <row r="58" spans="1:5" outlineLevel="1" x14ac:dyDescent="0.25">
      <c r="A58" s="90" t="s">
        <v>278</v>
      </c>
      <c r="B58" s="91" t="s">
        <v>279</v>
      </c>
    </row>
    <row r="59" spans="1:5" outlineLevel="1" x14ac:dyDescent="0.25">
      <c r="A59" s="90"/>
      <c r="B59" s="91" t="s">
        <v>662</v>
      </c>
    </row>
    <row r="60" spans="1:5" outlineLevel="1" x14ac:dyDescent="0.25">
      <c r="A60" s="90"/>
      <c r="B60" s="91"/>
    </row>
    <row r="61" spans="1:5" outlineLevel="1" x14ac:dyDescent="0.25">
      <c r="A61" s="90"/>
      <c r="B61" s="91"/>
    </row>
    <row r="62" spans="1:5" outlineLevel="1" x14ac:dyDescent="0.25">
      <c r="A62" s="90"/>
      <c r="B62" s="91"/>
    </row>
    <row r="63" spans="1:5" outlineLevel="1" x14ac:dyDescent="0.25">
      <c r="A63" s="90"/>
      <c r="B63" s="91"/>
    </row>
    <row r="64" spans="1:5" outlineLevel="1" x14ac:dyDescent="0.25">
      <c r="A64" s="90"/>
      <c r="B64" s="91"/>
    </row>
    <row r="65" spans="1:5" outlineLevel="1" x14ac:dyDescent="0.25">
      <c r="A65" s="90"/>
      <c r="B65" s="91"/>
    </row>
    <row r="66" spans="1:5" outlineLevel="1" x14ac:dyDescent="0.25">
      <c r="A66" s="90"/>
      <c r="B66" s="91"/>
    </row>
    <row r="67" spans="1:5" outlineLevel="1" x14ac:dyDescent="0.25">
      <c r="A67" s="90"/>
      <c r="B67" s="91"/>
    </row>
    <row r="68" spans="1:5" outlineLevel="1" x14ac:dyDescent="0.25">
      <c r="A68" s="90"/>
      <c r="B68" s="91"/>
    </row>
    <row r="69" spans="1:5" outlineLevel="1" x14ac:dyDescent="0.25">
      <c r="A69" s="90"/>
      <c r="B69" s="91"/>
    </row>
    <row r="70" spans="1:5" outlineLevel="1" x14ac:dyDescent="0.25">
      <c r="A70" s="90"/>
      <c r="B70" s="91"/>
    </row>
    <row r="71" spans="1:5" outlineLevel="1" x14ac:dyDescent="0.25">
      <c r="A71" s="90"/>
      <c r="B71" s="91"/>
    </row>
    <row r="72" spans="1:5" outlineLevel="1" x14ac:dyDescent="0.25">
      <c r="A72" s="90"/>
      <c r="B72" s="91"/>
    </row>
    <row r="73" spans="1:5" outlineLevel="1" x14ac:dyDescent="0.25">
      <c r="A73" s="194" t="s">
        <v>4</v>
      </c>
      <c r="B73" s="195"/>
      <c r="C73" s="92"/>
      <c r="D73" s="96">
        <f>SUM(D55:D72)</f>
        <v>0</v>
      </c>
      <c r="E73" s="92"/>
    </row>
    <row r="74" spans="1:5" s="89" customFormat="1" ht="18.75" x14ac:dyDescent="0.3">
      <c r="A74" s="88" t="s">
        <v>603</v>
      </c>
      <c r="B74" s="196" t="s">
        <v>604</v>
      </c>
      <c r="C74" s="197"/>
      <c r="D74" s="197"/>
      <c r="E74" s="197"/>
    </row>
    <row r="75" spans="1:5" outlineLevel="1" x14ac:dyDescent="0.25">
      <c r="A75" s="90" t="s">
        <v>280</v>
      </c>
      <c r="B75" s="91" t="s">
        <v>281</v>
      </c>
    </row>
    <row r="76" spans="1:5" outlineLevel="1" x14ac:dyDescent="0.25">
      <c r="A76" s="90"/>
      <c r="B76" s="91" t="s">
        <v>665</v>
      </c>
    </row>
    <row r="77" spans="1:5" outlineLevel="1" x14ac:dyDescent="0.25">
      <c r="A77" s="90"/>
      <c r="B77" s="91"/>
    </row>
    <row r="78" spans="1:5" outlineLevel="1" x14ac:dyDescent="0.25">
      <c r="A78" s="90"/>
      <c r="B78" s="91"/>
    </row>
    <row r="79" spans="1:5" outlineLevel="1" x14ac:dyDescent="0.25">
      <c r="A79" s="90"/>
      <c r="B79" s="91"/>
    </row>
    <row r="80" spans="1:5" outlineLevel="1" x14ac:dyDescent="0.25">
      <c r="A80" s="90"/>
      <c r="B80" s="91"/>
    </row>
    <row r="81" spans="1:2" outlineLevel="1" x14ac:dyDescent="0.25">
      <c r="A81" s="90"/>
      <c r="B81" s="91"/>
    </row>
    <row r="82" spans="1:2" outlineLevel="1" x14ac:dyDescent="0.25">
      <c r="A82" s="90" t="s">
        <v>204</v>
      </c>
      <c r="B82" s="91" t="s">
        <v>282</v>
      </c>
    </row>
    <row r="83" spans="1:2" outlineLevel="1" x14ac:dyDescent="0.25">
      <c r="A83" s="90"/>
      <c r="B83" s="91" t="s">
        <v>664</v>
      </c>
    </row>
    <row r="84" spans="1:2" outlineLevel="1" x14ac:dyDescent="0.25">
      <c r="A84" s="90"/>
      <c r="B84" s="91"/>
    </row>
    <row r="85" spans="1:2" outlineLevel="1" x14ac:dyDescent="0.25">
      <c r="A85" s="90"/>
      <c r="B85" s="91"/>
    </row>
    <row r="86" spans="1:2" outlineLevel="1" x14ac:dyDescent="0.25">
      <c r="A86" s="90"/>
      <c r="B86" s="91"/>
    </row>
    <row r="87" spans="1:2" outlineLevel="1" x14ac:dyDescent="0.25">
      <c r="A87" s="90" t="s">
        <v>203</v>
      </c>
      <c r="B87" s="91" t="s">
        <v>283</v>
      </c>
    </row>
    <row r="88" spans="1:2" outlineLevel="1" x14ac:dyDescent="0.25">
      <c r="A88" s="90"/>
      <c r="B88" s="91" t="s">
        <v>665</v>
      </c>
    </row>
    <row r="89" spans="1:2" outlineLevel="1" x14ac:dyDescent="0.25">
      <c r="A89" s="90"/>
      <c r="B89" s="91" t="s">
        <v>671</v>
      </c>
    </row>
    <row r="90" spans="1:2" outlineLevel="1" x14ac:dyDescent="0.25">
      <c r="A90" s="90"/>
      <c r="B90" s="91"/>
    </row>
    <row r="91" spans="1:2" outlineLevel="1" x14ac:dyDescent="0.25">
      <c r="A91" s="90" t="s">
        <v>284</v>
      </c>
      <c r="B91" s="91" t="s">
        <v>285</v>
      </c>
    </row>
    <row r="92" spans="1:2" outlineLevel="1" x14ac:dyDescent="0.25">
      <c r="A92" s="90"/>
      <c r="B92" s="91"/>
    </row>
    <row r="93" spans="1:2" outlineLevel="1" x14ac:dyDescent="0.25">
      <c r="A93" s="90"/>
      <c r="B93" s="91"/>
    </row>
    <row r="94" spans="1:2" outlineLevel="1" x14ac:dyDescent="0.25">
      <c r="A94" s="90"/>
      <c r="B94" s="91"/>
    </row>
    <row r="95" spans="1:2" outlineLevel="1" x14ac:dyDescent="0.25">
      <c r="A95" s="90"/>
      <c r="B95" s="91"/>
    </row>
    <row r="96" spans="1:2" outlineLevel="1" x14ac:dyDescent="0.25">
      <c r="A96" s="90"/>
      <c r="B96" s="91"/>
    </row>
    <row r="97" spans="1:5" outlineLevel="1" x14ac:dyDescent="0.25">
      <c r="A97" s="90"/>
      <c r="B97" s="91"/>
    </row>
    <row r="98" spans="1:5" outlineLevel="1" x14ac:dyDescent="0.25">
      <c r="A98" s="90"/>
      <c r="B98" s="91"/>
    </row>
    <row r="99" spans="1:5" outlineLevel="1" x14ac:dyDescent="0.25">
      <c r="A99" s="194" t="s">
        <v>4</v>
      </c>
      <c r="B99" s="195"/>
      <c r="C99" s="92"/>
      <c r="D99" s="96">
        <f>SUM(D75:D98)</f>
        <v>0</v>
      </c>
      <c r="E99" s="92"/>
    </row>
    <row r="100" spans="1:5" s="89" customFormat="1" ht="18.75" x14ac:dyDescent="0.3">
      <c r="A100" s="88" t="s">
        <v>605</v>
      </c>
      <c r="B100" s="196" t="s">
        <v>606</v>
      </c>
      <c r="C100" s="197"/>
      <c r="D100" s="197"/>
      <c r="E100" s="197"/>
    </row>
    <row r="101" spans="1:5" outlineLevel="1" x14ac:dyDescent="0.25">
      <c r="A101" s="90"/>
      <c r="B101" s="91"/>
    </row>
    <row r="102" spans="1:5" outlineLevel="1" x14ac:dyDescent="0.25">
      <c r="A102" s="90" t="s">
        <v>206</v>
      </c>
      <c r="B102" s="91" t="s">
        <v>286</v>
      </c>
    </row>
    <row r="103" spans="1:5" outlineLevel="1" x14ac:dyDescent="0.25">
      <c r="A103" s="90"/>
      <c r="B103" s="91" t="s">
        <v>670</v>
      </c>
    </row>
    <row r="104" spans="1:5" outlineLevel="1" x14ac:dyDescent="0.25">
      <c r="A104" s="90"/>
      <c r="B104" s="91"/>
    </row>
    <row r="105" spans="1:5" outlineLevel="1" x14ac:dyDescent="0.25">
      <c r="A105" s="90"/>
      <c r="B105" s="91"/>
    </row>
    <row r="106" spans="1:5" outlineLevel="1" x14ac:dyDescent="0.25">
      <c r="A106" s="90" t="s">
        <v>208</v>
      </c>
      <c r="B106" s="91" t="s">
        <v>287</v>
      </c>
    </row>
    <row r="107" spans="1:5" outlineLevel="1" x14ac:dyDescent="0.25">
      <c r="A107" s="90"/>
      <c r="B107" s="91" t="s">
        <v>669</v>
      </c>
    </row>
    <row r="108" spans="1:5" outlineLevel="1" x14ac:dyDescent="0.25">
      <c r="A108" s="90" t="s">
        <v>207</v>
      </c>
      <c r="B108" s="91" t="s">
        <v>288</v>
      </c>
    </row>
    <row r="109" spans="1:5" outlineLevel="1" x14ac:dyDescent="0.25">
      <c r="A109" s="90" t="s">
        <v>289</v>
      </c>
      <c r="B109" s="91" t="s">
        <v>290</v>
      </c>
    </row>
    <row r="110" spans="1:5" outlineLevel="1" x14ac:dyDescent="0.25">
      <c r="A110" s="90"/>
      <c r="B110" s="91" t="s">
        <v>666</v>
      </c>
    </row>
    <row r="111" spans="1:5" outlineLevel="1" x14ac:dyDescent="0.25">
      <c r="A111" s="90" t="s">
        <v>291</v>
      </c>
      <c r="B111" s="91" t="s">
        <v>292</v>
      </c>
    </row>
    <row r="112" spans="1:5" outlineLevel="1" x14ac:dyDescent="0.25">
      <c r="A112" s="90"/>
      <c r="B112" s="91" t="s">
        <v>667</v>
      </c>
    </row>
    <row r="113" spans="1:5" outlineLevel="1" x14ac:dyDescent="0.25">
      <c r="A113" s="90"/>
      <c r="B113" s="91"/>
    </row>
    <row r="114" spans="1:5" outlineLevel="1" x14ac:dyDescent="0.25">
      <c r="A114" s="90"/>
      <c r="B114" s="91"/>
    </row>
    <row r="115" spans="1:5" outlineLevel="1" x14ac:dyDescent="0.25">
      <c r="A115" s="90"/>
      <c r="B115" s="91"/>
    </row>
    <row r="116" spans="1:5" outlineLevel="1" x14ac:dyDescent="0.25">
      <c r="A116" s="90"/>
      <c r="B116" s="91"/>
    </row>
    <row r="117" spans="1:5" outlineLevel="1" x14ac:dyDescent="0.25">
      <c r="A117" s="90"/>
      <c r="B117" s="91"/>
    </row>
    <row r="118" spans="1:5" outlineLevel="1" x14ac:dyDescent="0.25">
      <c r="A118" s="90"/>
      <c r="B118" s="91"/>
    </row>
    <row r="119" spans="1:5" outlineLevel="1" x14ac:dyDescent="0.25">
      <c r="A119" s="90"/>
      <c r="B119" s="91"/>
    </row>
    <row r="120" spans="1:5" outlineLevel="1" x14ac:dyDescent="0.25">
      <c r="A120" s="90" t="s">
        <v>209</v>
      </c>
      <c r="B120" s="91" t="s">
        <v>293</v>
      </c>
    </row>
    <row r="121" spans="1:5" outlineLevel="1" x14ac:dyDescent="0.25">
      <c r="A121" s="90"/>
      <c r="B121" s="91" t="s">
        <v>668</v>
      </c>
    </row>
    <row r="122" spans="1:5" outlineLevel="1" x14ac:dyDescent="0.25">
      <c r="A122" s="90"/>
      <c r="B122" s="91"/>
    </row>
    <row r="123" spans="1:5" outlineLevel="1" x14ac:dyDescent="0.25">
      <c r="A123" s="90"/>
      <c r="B123" s="91"/>
    </row>
    <row r="124" spans="1:5" outlineLevel="1" x14ac:dyDescent="0.25">
      <c r="A124" s="90"/>
      <c r="B124" s="91"/>
    </row>
    <row r="125" spans="1:5" outlineLevel="1" x14ac:dyDescent="0.25">
      <c r="A125" s="194" t="s">
        <v>4</v>
      </c>
      <c r="B125" s="195"/>
      <c r="C125" s="92"/>
      <c r="D125" s="96">
        <f>SUM(D101:D124)</f>
        <v>0</v>
      </c>
      <c r="E125" s="92"/>
    </row>
    <row r="126" spans="1:5" s="89" customFormat="1" ht="18.75" x14ac:dyDescent="0.3">
      <c r="A126" s="88" t="s">
        <v>607</v>
      </c>
      <c r="B126" s="196" t="s">
        <v>608</v>
      </c>
      <c r="C126" s="197"/>
      <c r="D126" s="197"/>
      <c r="E126" s="197"/>
    </row>
    <row r="127" spans="1:5" outlineLevel="1" x14ac:dyDescent="0.25">
      <c r="A127" s="90" t="s">
        <v>294</v>
      </c>
      <c r="B127" s="91" t="s">
        <v>295</v>
      </c>
    </row>
    <row r="128" spans="1:5" outlineLevel="1" x14ac:dyDescent="0.25">
      <c r="A128" s="90" t="s">
        <v>296</v>
      </c>
      <c r="B128" s="91" t="s">
        <v>297</v>
      </c>
    </row>
    <row r="129" spans="1:2" outlineLevel="1" x14ac:dyDescent="0.25">
      <c r="A129" s="90" t="s">
        <v>298</v>
      </c>
      <c r="B129" s="91" t="s">
        <v>299</v>
      </c>
    </row>
    <row r="130" spans="1:2" outlineLevel="1" x14ac:dyDescent="0.25">
      <c r="A130" s="90" t="s">
        <v>211</v>
      </c>
      <c r="B130" s="91" t="s">
        <v>300</v>
      </c>
    </row>
    <row r="131" spans="1:2" outlineLevel="1" x14ac:dyDescent="0.25">
      <c r="A131" s="90" t="s">
        <v>301</v>
      </c>
      <c r="B131" s="91" t="s">
        <v>302</v>
      </c>
    </row>
    <row r="132" spans="1:2" outlineLevel="1" x14ac:dyDescent="0.25">
      <c r="A132" s="90" t="s">
        <v>303</v>
      </c>
      <c r="B132" s="91" t="s">
        <v>304</v>
      </c>
    </row>
    <row r="133" spans="1:2" outlineLevel="1" x14ac:dyDescent="0.25">
      <c r="A133" s="90" t="s">
        <v>305</v>
      </c>
      <c r="B133" s="91" t="s">
        <v>306</v>
      </c>
    </row>
    <row r="134" spans="1:2" outlineLevel="1" x14ac:dyDescent="0.25">
      <c r="A134" s="90" t="s">
        <v>307</v>
      </c>
      <c r="B134" s="91" t="s">
        <v>308</v>
      </c>
    </row>
    <row r="135" spans="1:2" outlineLevel="1" x14ac:dyDescent="0.25">
      <c r="A135" s="90" t="s">
        <v>309</v>
      </c>
      <c r="B135" s="91" t="s">
        <v>310</v>
      </c>
    </row>
    <row r="136" spans="1:2" outlineLevel="1" x14ac:dyDescent="0.25">
      <c r="A136" s="90" t="s">
        <v>311</v>
      </c>
      <c r="B136" s="91" t="s">
        <v>312</v>
      </c>
    </row>
    <row r="137" spans="1:2" outlineLevel="1" x14ac:dyDescent="0.25">
      <c r="A137" s="90" t="s">
        <v>213</v>
      </c>
      <c r="B137" s="91" t="s">
        <v>313</v>
      </c>
    </row>
    <row r="138" spans="1:2" outlineLevel="1" x14ac:dyDescent="0.25">
      <c r="A138" s="90" t="s">
        <v>212</v>
      </c>
      <c r="B138" s="91" t="s">
        <v>314</v>
      </c>
    </row>
    <row r="139" spans="1:2" outlineLevel="1" x14ac:dyDescent="0.25">
      <c r="A139" s="90" t="s">
        <v>214</v>
      </c>
      <c r="B139" s="91" t="s">
        <v>315</v>
      </c>
    </row>
    <row r="140" spans="1:2" outlineLevel="1" x14ac:dyDescent="0.25">
      <c r="A140" s="90" t="s">
        <v>316</v>
      </c>
      <c r="B140" s="91" t="s">
        <v>317</v>
      </c>
    </row>
    <row r="141" spans="1:2" outlineLevel="1" x14ac:dyDescent="0.25">
      <c r="A141" s="90" t="s">
        <v>318</v>
      </c>
      <c r="B141" s="91" t="s">
        <v>319</v>
      </c>
    </row>
    <row r="142" spans="1:2" outlineLevel="1" x14ac:dyDescent="0.25">
      <c r="A142" s="90" t="s">
        <v>320</v>
      </c>
      <c r="B142" s="91" t="s">
        <v>321</v>
      </c>
    </row>
    <row r="143" spans="1:2" outlineLevel="1" x14ac:dyDescent="0.25">
      <c r="A143" s="90" t="s">
        <v>322</v>
      </c>
      <c r="B143" s="91" t="s">
        <v>323</v>
      </c>
    </row>
    <row r="144" spans="1:2" outlineLevel="1" x14ac:dyDescent="0.25">
      <c r="A144" s="90" t="s">
        <v>324</v>
      </c>
      <c r="B144" s="91" t="s">
        <v>325</v>
      </c>
    </row>
    <row r="145" spans="1:6" outlineLevel="1" x14ac:dyDescent="0.25">
      <c r="A145" s="90" t="s">
        <v>326</v>
      </c>
      <c r="B145" s="91" t="s">
        <v>327</v>
      </c>
    </row>
    <row r="146" spans="1:6" outlineLevel="1" x14ac:dyDescent="0.25">
      <c r="A146" s="90" t="s">
        <v>328</v>
      </c>
      <c r="B146" s="91" t="s">
        <v>329</v>
      </c>
    </row>
    <row r="147" spans="1:6" outlineLevel="1" x14ac:dyDescent="0.25">
      <c r="A147" s="194" t="s">
        <v>4</v>
      </c>
      <c r="B147" s="195"/>
      <c r="C147" s="92"/>
      <c r="D147" s="96">
        <f>SUM(D127:D146)</f>
        <v>0</v>
      </c>
      <c r="E147" s="92"/>
    </row>
    <row r="148" spans="1:6" s="89" customFormat="1" ht="18.75" x14ac:dyDescent="0.3">
      <c r="A148" s="88" t="s">
        <v>609</v>
      </c>
      <c r="B148" s="196" t="s">
        <v>240</v>
      </c>
      <c r="C148" s="197"/>
      <c r="D148" s="197"/>
      <c r="E148" s="197"/>
      <c r="F148" s="108"/>
    </row>
    <row r="149" spans="1:6" outlineLevel="1" x14ac:dyDescent="0.25">
      <c r="A149" s="90" t="s">
        <v>330</v>
      </c>
      <c r="B149" s="91" t="s">
        <v>331</v>
      </c>
    </row>
    <row r="150" spans="1:6" outlineLevel="1" x14ac:dyDescent="0.25">
      <c r="A150" s="90" t="s">
        <v>332</v>
      </c>
      <c r="B150" s="91" t="s">
        <v>333</v>
      </c>
    </row>
    <row r="151" spans="1:6" outlineLevel="1" x14ac:dyDescent="0.25">
      <c r="A151" s="90" t="s">
        <v>336</v>
      </c>
      <c r="B151" s="91" t="s">
        <v>337</v>
      </c>
    </row>
    <row r="152" spans="1:6" outlineLevel="1" x14ac:dyDescent="0.25">
      <c r="A152" s="90" t="s">
        <v>610</v>
      </c>
      <c r="B152" s="91" t="s">
        <v>611</v>
      </c>
    </row>
    <row r="153" spans="1:6" outlineLevel="1" x14ac:dyDescent="0.25">
      <c r="A153" s="93" t="s">
        <v>612</v>
      </c>
      <c r="B153" s="91" t="s">
        <v>613</v>
      </c>
    </row>
    <row r="154" spans="1:6" outlineLevel="1" x14ac:dyDescent="0.25">
      <c r="A154" s="194" t="s">
        <v>4</v>
      </c>
      <c r="B154" s="195"/>
      <c r="C154" s="92"/>
      <c r="D154" s="96">
        <f>SUM(D149:D153)</f>
        <v>0</v>
      </c>
      <c r="E154" s="92"/>
    </row>
    <row r="155" spans="1:6" s="89" customFormat="1" ht="18.75" x14ac:dyDescent="0.3">
      <c r="A155" s="94" t="s">
        <v>614</v>
      </c>
      <c r="B155" s="196" t="s">
        <v>615</v>
      </c>
      <c r="C155" s="197"/>
      <c r="D155" s="197"/>
      <c r="E155" s="197"/>
    </row>
    <row r="156" spans="1:6" outlineLevel="1" x14ac:dyDescent="0.25">
      <c r="A156" s="93" t="s">
        <v>616</v>
      </c>
      <c r="B156" s="91" t="s">
        <v>334</v>
      </c>
    </row>
    <row r="157" spans="1:6" outlineLevel="1" x14ac:dyDescent="0.25">
      <c r="A157" s="90" t="s">
        <v>217</v>
      </c>
      <c r="B157" s="91" t="s">
        <v>341</v>
      </c>
      <c r="E157" s="95"/>
    </row>
    <row r="158" spans="1:6" outlineLevel="1" x14ac:dyDescent="0.25">
      <c r="A158" s="90" t="s">
        <v>342</v>
      </c>
      <c r="B158" s="91" t="s">
        <v>335</v>
      </c>
    </row>
    <row r="159" spans="1:6" outlineLevel="1" x14ac:dyDescent="0.25">
      <c r="A159" s="90" t="s">
        <v>617</v>
      </c>
      <c r="B159" s="91" t="s">
        <v>338</v>
      </c>
    </row>
    <row r="160" spans="1:6" outlineLevel="1" x14ac:dyDescent="0.25">
      <c r="A160" s="90" t="s">
        <v>218</v>
      </c>
      <c r="B160" s="91" t="s">
        <v>339</v>
      </c>
    </row>
    <row r="161" spans="1:5" outlineLevel="1" x14ac:dyDescent="0.25">
      <c r="A161" s="90" t="s">
        <v>618</v>
      </c>
      <c r="B161" s="91" t="s">
        <v>340</v>
      </c>
    </row>
    <row r="162" spans="1:5" outlineLevel="1" x14ac:dyDescent="0.25">
      <c r="A162" s="194" t="s">
        <v>4</v>
      </c>
      <c r="B162" s="195"/>
      <c r="C162" s="92"/>
      <c r="D162" s="96">
        <f>SUM(D156:D161)</f>
        <v>0</v>
      </c>
      <c r="E162" s="92"/>
    </row>
    <row r="163" spans="1:5" s="89" customFormat="1" ht="18.75" x14ac:dyDescent="0.3">
      <c r="A163" s="88" t="s">
        <v>619</v>
      </c>
      <c r="B163" s="196" t="s">
        <v>620</v>
      </c>
      <c r="C163" s="197"/>
      <c r="D163" s="197"/>
      <c r="E163" s="197"/>
    </row>
    <row r="164" spans="1:5" outlineLevel="1" x14ac:dyDescent="0.25">
      <c r="A164" s="90" t="s">
        <v>343</v>
      </c>
      <c r="B164" s="91" t="s">
        <v>344</v>
      </c>
    </row>
    <row r="165" spans="1:5" outlineLevel="1" x14ac:dyDescent="0.25">
      <c r="A165" s="90" t="s">
        <v>345</v>
      </c>
      <c r="B165" s="91" t="s">
        <v>346</v>
      </c>
    </row>
    <row r="166" spans="1:5" outlineLevel="1" x14ac:dyDescent="0.25">
      <c r="A166" s="90" t="s">
        <v>347</v>
      </c>
      <c r="B166" s="91" t="s">
        <v>348</v>
      </c>
    </row>
    <row r="167" spans="1:5" outlineLevel="1" x14ac:dyDescent="0.25">
      <c r="A167" s="90" t="s">
        <v>349</v>
      </c>
      <c r="B167" s="91" t="s">
        <v>350</v>
      </c>
    </row>
    <row r="168" spans="1:5" outlineLevel="1" x14ac:dyDescent="0.25">
      <c r="A168" s="90" t="s">
        <v>351</v>
      </c>
      <c r="B168" s="91" t="s">
        <v>352</v>
      </c>
    </row>
    <row r="169" spans="1:5" outlineLevel="1" x14ac:dyDescent="0.25">
      <c r="A169" s="194" t="s">
        <v>4</v>
      </c>
      <c r="B169" s="195"/>
      <c r="C169" s="92"/>
      <c r="D169" s="96">
        <f>SUM(D164:D168)</f>
        <v>0</v>
      </c>
      <c r="E169" s="92"/>
    </row>
    <row r="170" spans="1:5" s="89" customFormat="1" ht="18.75" x14ac:dyDescent="0.3">
      <c r="A170" s="88" t="s">
        <v>621</v>
      </c>
      <c r="B170" s="196" t="s">
        <v>622</v>
      </c>
      <c r="C170" s="197"/>
      <c r="D170" s="197"/>
      <c r="E170" s="197"/>
    </row>
    <row r="171" spans="1:5" outlineLevel="1" x14ac:dyDescent="0.25">
      <c r="A171" s="90" t="s">
        <v>353</v>
      </c>
      <c r="B171" s="91" t="s">
        <v>354</v>
      </c>
    </row>
    <row r="172" spans="1:5" outlineLevel="1" x14ac:dyDescent="0.25">
      <c r="A172" s="90" t="s">
        <v>355</v>
      </c>
      <c r="B172" s="91" t="s">
        <v>356</v>
      </c>
    </row>
    <row r="173" spans="1:5" outlineLevel="1" x14ac:dyDescent="0.25">
      <c r="A173" s="194" t="s">
        <v>4</v>
      </c>
      <c r="B173" s="195"/>
      <c r="C173" s="92"/>
      <c r="D173" s="96">
        <f>SUM(D171:D172)</f>
        <v>0</v>
      </c>
      <c r="E173" s="92"/>
    </row>
    <row r="174" spans="1:5" s="89" customFormat="1" ht="18.75" x14ac:dyDescent="0.3">
      <c r="A174" s="88" t="s">
        <v>623</v>
      </c>
      <c r="B174" s="196" t="s">
        <v>624</v>
      </c>
      <c r="C174" s="197"/>
      <c r="D174" s="197"/>
      <c r="E174" s="197"/>
    </row>
    <row r="175" spans="1:5" outlineLevel="1" x14ac:dyDescent="0.25">
      <c r="A175" s="90" t="s">
        <v>357</v>
      </c>
      <c r="B175" s="91" t="s">
        <v>358</v>
      </c>
    </row>
    <row r="176" spans="1:5" outlineLevel="1" x14ac:dyDescent="0.25">
      <c r="A176" s="90" t="s">
        <v>220</v>
      </c>
      <c r="B176" s="91" t="s">
        <v>359</v>
      </c>
    </row>
    <row r="177" spans="1:5" outlineLevel="1" x14ac:dyDescent="0.25">
      <c r="A177" s="90" t="s">
        <v>360</v>
      </c>
      <c r="B177" s="91" t="s">
        <v>361</v>
      </c>
    </row>
    <row r="178" spans="1:5" outlineLevel="1" x14ac:dyDescent="0.25">
      <c r="A178" s="90" t="s">
        <v>362</v>
      </c>
      <c r="B178" s="91" t="s">
        <v>363</v>
      </c>
    </row>
    <row r="179" spans="1:5" outlineLevel="1" x14ac:dyDescent="0.25">
      <c r="A179" s="90" t="s">
        <v>364</v>
      </c>
      <c r="B179" s="91" t="s">
        <v>365</v>
      </c>
    </row>
    <row r="180" spans="1:5" outlineLevel="1" x14ac:dyDescent="0.25">
      <c r="A180" s="90" t="s">
        <v>366</v>
      </c>
      <c r="B180" s="91" t="s">
        <v>367</v>
      </c>
    </row>
    <row r="181" spans="1:5" outlineLevel="1" x14ac:dyDescent="0.25">
      <c r="A181" s="90" t="s">
        <v>368</v>
      </c>
      <c r="B181" s="91" t="s">
        <v>369</v>
      </c>
    </row>
    <row r="182" spans="1:5" outlineLevel="1" x14ac:dyDescent="0.25">
      <c r="A182" s="90" t="s">
        <v>370</v>
      </c>
      <c r="B182" s="91" t="s">
        <v>371</v>
      </c>
    </row>
    <row r="183" spans="1:5" outlineLevel="1" x14ac:dyDescent="0.25">
      <c r="A183" s="90" t="s">
        <v>372</v>
      </c>
      <c r="B183" s="91" t="s">
        <v>373</v>
      </c>
    </row>
    <row r="184" spans="1:5" outlineLevel="1" x14ac:dyDescent="0.25">
      <c r="A184" s="194" t="s">
        <v>4</v>
      </c>
      <c r="B184" s="195"/>
      <c r="C184" s="92"/>
      <c r="D184" s="96">
        <f>SUM(D175:D183)</f>
        <v>0</v>
      </c>
      <c r="E184" s="92"/>
    </row>
    <row r="185" spans="1:5" s="89" customFormat="1" ht="18.75" x14ac:dyDescent="0.3">
      <c r="A185" s="88" t="s">
        <v>625</v>
      </c>
      <c r="B185" s="196" t="s">
        <v>237</v>
      </c>
      <c r="C185" s="197"/>
      <c r="D185" s="197"/>
      <c r="E185" s="197"/>
    </row>
    <row r="186" spans="1:5" outlineLevel="1" x14ac:dyDescent="0.25">
      <c r="A186" s="90" t="s">
        <v>222</v>
      </c>
      <c r="B186" s="91" t="s">
        <v>374</v>
      </c>
    </row>
    <row r="187" spans="1:5" outlineLevel="1" x14ac:dyDescent="0.25">
      <c r="A187" s="90" t="s">
        <v>375</v>
      </c>
      <c r="B187" s="91" t="s">
        <v>376</v>
      </c>
    </row>
    <row r="188" spans="1:5" outlineLevel="1" x14ac:dyDescent="0.25">
      <c r="A188" s="90" t="s">
        <v>377</v>
      </c>
      <c r="B188" s="91" t="s">
        <v>378</v>
      </c>
    </row>
    <row r="189" spans="1:5" outlineLevel="1" x14ac:dyDescent="0.25">
      <c r="A189" s="90" t="s">
        <v>379</v>
      </c>
      <c r="B189" s="91" t="s">
        <v>380</v>
      </c>
    </row>
    <row r="190" spans="1:5" outlineLevel="1" x14ac:dyDescent="0.25">
      <c r="A190" s="90" t="s">
        <v>223</v>
      </c>
      <c r="B190" s="91" t="s">
        <v>381</v>
      </c>
    </row>
    <row r="191" spans="1:5" outlineLevel="1" x14ac:dyDescent="0.25">
      <c r="A191" s="90" t="s">
        <v>382</v>
      </c>
      <c r="B191" s="91" t="s">
        <v>383</v>
      </c>
    </row>
    <row r="192" spans="1:5" outlineLevel="1" x14ac:dyDescent="0.25">
      <c r="A192" s="90" t="s">
        <v>384</v>
      </c>
      <c r="B192" s="91" t="s">
        <v>385</v>
      </c>
    </row>
    <row r="193" spans="1:5" outlineLevel="1" x14ac:dyDescent="0.25">
      <c r="A193" s="90" t="s">
        <v>386</v>
      </c>
      <c r="B193" s="91" t="s">
        <v>387</v>
      </c>
    </row>
    <row r="194" spans="1:5" outlineLevel="1" x14ac:dyDescent="0.25">
      <c r="A194" s="90" t="s">
        <v>388</v>
      </c>
      <c r="B194" s="91" t="s">
        <v>389</v>
      </c>
    </row>
    <row r="195" spans="1:5" outlineLevel="1" x14ac:dyDescent="0.25">
      <c r="A195" s="90" t="s">
        <v>390</v>
      </c>
      <c r="B195" s="91" t="s">
        <v>391</v>
      </c>
    </row>
    <row r="196" spans="1:5" outlineLevel="1" x14ac:dyDescent="0.25">
      <c r="A196" s="90" t="s">
        <v>392</v>
      </c>
      <c r="B196" s="91" t="s">
        <v>393</v>
      </c>
    </row>
    <row r="197" spans="1:5" outlineLevel="1" x14ac:dyDescent="0.25">
      <c r="A197" s="90" t="s">
        <v>394</v>
      </c>
      <c r="B197" s="91" t="s">
        <v>395</v>
      </c>
    </row>
    <row r="198" spans="1:5" outlineLevel="1" x14ac:dyDescent="0.25">
      <c r="A198" s="194" t="s">
        <v>4</v>
      </c>
      <c r="B198" s="195"/>
      <c r="C198" s="92"/>
      <c r="D198" s="96">
        <f>SUM(D186:D197)</f>
        <v>0</v>
      </c>
      <c r="E198" s="92"/>
    </row>
    <row r="199" spans="1:5" s="89" customFormat="1" ht="18.75" x14ac:dyDescent="0.3">
      <c r="A199" s="88" t="s">
        <v>626</v>
      </c>
      <c r="B199" s="196" t="s">
        <v>238</v>
      </c>
      <c r="C199" s="197"/>
      <c r="D199" s="197"/>
      <c r="E199" s="197"/>
    </row>
    <row r="200" spans="1:5" outlineLevel="1" x14ac:dyDescent="0.25">
      <c r="A200" s="90" t="s">
        <v>396</v>
      </c>
      <c r="B200" s="91" t="s">
        <v>397</v>
      </c>
    </row>
    <row r="201" spans="1:5" outlineLevel="1" x14ac:dyDescent="0.25">
      <c r="A201" s="90" t="s">
        <v>398</v>
      </c>
      <c r="B201" s="91" t="s">
        <v>399</v>
      </c>
    </row>
    <row r="202" spans="1:5" outlineLevel="1" x14ac:dyDescent="0.25">
      <c r="A202" s="90" t="s">
        <v>400</v>
      </c>
      <c r="B202" s="91" t="s">
        <v>401</v>
      </c>
    </row>
    <row r="203" spans="1:5" outlineLevel="1" x14ac:dyDescent="0.25">
      <c r="A203" s="90" t="s">
        <v>402</v>
      </c>
      <c r="B203" s="91" t="s">
        <v>403</v>
      </c>
    </row>
    <row r="204" spans="1:5" outlineLevel="1" x14ac:dyDescent="0.25">
      <c r="A204" s="90" t="s">
        <v>404</v>
      </c>
      <c r="B204" s="91" t="s">
        <v>405</v>
      </c>
    </row>
    <row r="205" spans="1:5" outlineLevel="1" x14ac:dyDescent="0.25">
      <c r="A205" s="90" t="s">
        <v>406</v>
      </c>
      <c r="B205" s="91" t="s">
        <v>407</v>
      </c>
    </row>
    <row r="206" spans="1:5" outlineLevel="1" x14ac:dyDescent="0.25">
      <c r="A206" s="90" t="s">
        <v>408</v>
      </c>
      <c r="B206" s="91" t="s">
        <v>409</v>
      </c>
    </row>
    <row r="207" spans="1:5" outlineLevel="1" x14ac:dyDescent="0.25">
      <c r="A207" s="90" t="s">
        <v>410</v>
      </c>
      <c r="B207" s="91" t="s">
        <v>411</v>
      </c>
    </row>
    <row r="208" spans="1:5" outlineLevel="1" x14ac:dyDescent="0.25">
      <c r="A208" s="194" t="s">
        <v>4</v>
      </c>
      <c r="B208" s="195"/>
      <c r="C208" s="92"/>
      <c r="D208" s="96">
        <f>SUM(D200:D207)</f>
        <v>0</v>
      </c>
      <c r="E208" s="92"/>
    </row>
    <row r="209" spans="1:5" s="89" customFormat="1" ht="18.75" x14ac:dyDescent="0.3">
      <c r="A209" s="88" t="s">
        <v>627</v>
      </c>
      <c r="B209" s="196" t="s">
        <v>628</v>
      </c>
      <c r="C209" s="197"/>
      <c r="D209" s="197"/>
      <c r="E209" s="197"/>
    </row>
    <row r="210" spans="1:5" outlineLevel="1" x14ac:dyDescent="0.25">
      <c r="A210" s="90" t="s">
        <v>412</v>
      </c>
      <c r="B210" s="91" t="s">
        <v>413</v>
      </c>
    </row>
    <row r="211" spans="1:5" outlineLevel="1" x14ac:dyDescent="0.25">
      <c r="A211" s="194" t="s">
        <v>4</v>
      </c>
      <c r="B211" s="195"/>
      <c r="C211" s="92"/>
      <c r="D211" s="96">
        <f>SUM(D210)</f>
        <v>0</v>
      </c>
      <c r="E211" s="92"/>
    </row>
    <row r="212" spans="1:5" ht="18.75" x14ac:dyDescent="0.3">
      <c r="A212" s="88" t="s">
        <v>629</v>
      </c>
      <c r="B212" s="196" t="s">
        <v>34</v>
      </c>
      <c r="C212" s="197"/>
      <c r="D212" s="197"/>
      <c r="E212" s="197"/>
    </row>
    <row r="213" spans="1:5" outlineLevel="1" x14ac:dyDescent="0.25">
      <c r="A213" s="90" t="s">
        <v>414</v>
      </c>
      <c r="B213" s="91" t="s">
        <v>415</v>
      </c>
    </row>
    <row r="214" spans="1:5" outlineLevel="1" x14ac:dyDescent="0.25">
      <c r="A214" s="90" t="s">
        <v>226</v>
      </c>
      <c r="B214" s="91" t="s">
        <v>416</v>
      </c>
    </row>
    <row r="215" spans="1:5" outlineLevel="1" x14ac:dyDescent="0.25">
      <c r="A215" s="90" t="s">
        <v>417</v>
      </c>
      <c r="B215" s="91" t="s">
        <v>418</v>
      </c>
    </row>
    <row r="216" spans="1:5" outlineLevel="1" x14ac:dyDescent="0.25">
      <c r="A216" s="90" t="s">
        <v>419</v>
      </c>
      <c r="B216" s="91" t="s">
        <v>420</v>
      </c>
    </row>
    <row r="217" spans="1:5" outlineLevel="1" x14ac:dyDescent="0.25">
      <c r="A217" s="90" t="s">
        <v>421</v>
      </c>
      <c r="B217" s="91" t="s">
        <v>422</v>
      </c>
    </row>
    <row r="218" spans="1:5" outlineLevel="1" x14ac:dyDescent="0.25">
      <c r="A218" s="90" t="s">
        <v>227</v>
      </c>
      <c r="B218" s="91" t="s">
        <v>423</v>
      </c>
    </row>
    <row r="219" spans="1:5" outlineLevel="1" x14ac:dyDescent="0.25">
      <c r="A219" s="90" t="s">
        <v>424</v>
      </c>
      <c r="B219" s="91" t="s">
        <v>425</v>
      </c>
    </row>
    <row r="220" spans="1:5" outlineLevel="1" x14ac:dyDescent="0.25">
      <c r="A220" s="90" t="s">
        <v>426</v>
      </c>
      <c r="B220" s="91" t="s">
        <v>427</v>
      </c>
    </row>
    <row r="221" spans="1:5" outlineLevel="1" x14ac:dyDescent="0.25">
      <c r="A221" s="90" t="s">
        <v>428</v>
      </c>
      <c r="B221" s="91" t="s">
        <v>429</v>
      </c>
    </row>
    <row r="222" spans="1:5" outlineLevel="1" x14ac:dyDescent="0.25">
      <c r="A222" s="194" t="s">
        <v>4</v>
      </c>
      <c r="B222" s="195"/>
      <c r="C222" s="92"/>
      <c r="D222" s="96">
        <f>SUM(D213:D221)</f>
        <v>0</v>
      </c>
      <c r="E222" s="92"/>
    </row>
    <row r="223" spans="1:5" s="89" customFormat="1" ht="18.75" x14ac:dyDescent="0.3">
      <c r="A223" s="88" t="s">
        <v>630</v>
      </c>
      <c r="B223" s="196" t="s">
        <v>631</v>
      </c>
      <c r="C223" s="197"/>
      <c r="D223" s="197"/>
      <c r="E223" s="197"/>
    </row>
    <row r="224" spans="1:5" outlineLevel="1" x14ac:dyDescent="0.25">
      <c r="A224" s="90" t="s">
        <v>430</v>
      </c>
      <c r="B224" s="91" t="s">
        <v>632</v>
      </c>
    </row>
    <row r="225" spans="1:5" outlineLevel="1" x14ac:dyDescent="0.25">
      <c r="A225" s="90" t="s">
        <v>432</v>
      </c>
      <c r="B225" s="91" t="s">
        <v>633</v>
      </c>
    </row>
    <row r="226" spans="1:5" outlineLevel="1" x14ac:dyDescent="0.25">
      <c r="A226" s="90" t="s">
        <v>433</v>
      </c>
      <c r="B226" s="91" t="s">
        <v>634</v>
      </c>
    </row>
    <row r="227" spans="1:5" outlineLevel="1" x14ac:dyDescent="0.25">
      <c r="A227" s="194" t="s">
        <v>4</v>
      </c>
      <c r="B227" s="195"/>
      <c r="C227" s="92"/>
      <c r="D227" s="96">
        <f>SUM(D224:D226)</f>
        <v>0</v>
      </c>
      <c r="E227" s="92"/>
    </row>
    <row r="228" spans="1:5" s="89" customFormat="1" ht="18.75" x14ac:dyDescent="0.3">
      <c r="A228" s="88" t="s">
        <v>635</v>
      </c>
      <c r="B228" s="196" t="s">
        <v>636</v>
      </c>
      <c r="C228" s="197"/>
      <c r="D228" s="197"/>
      <c r="E228" s="197"/>
    </row>
    <row r="229" spans="1:5" outlineLevel="1" x14ac:dyDescent="0.25">
      <c r="A229" s="90" t="s">
        <v>637</v>
      </c>
      <c r="B229" s="91" t="s">
        <v>431</v>
      </c>
    </row>
    <row r="230" spans="1:5" outlineLevel="1" x14ac:dyDescent="0.25">
      <c r="A230" s="90" t="s">
        <v>434</v>
      </c>
      <c r="B230" s="91" t="s">
        <v>638</v>
      </c>
    </row>
    <row r="231" spans="1:5" outlineLevel="1" x14ac:dyDescent="0.25">
      <c r="A231" s="90" t="s">
        <v>435</v>
      </c>
      <c r="B231" s="91" t="s">
        <v>639</v>
      </c>
    </row>
    <row r="232" spans="1:5" outlineLevel="1" x14ac:dyDescent="0.25">
      <c r="A232" s="90" t="s">
        <v>436</v>
      </c>
      <c r="B232" s="91" t="s">
        <v>437</v>
      </c>
    </row>
    <row r="233" spans="1:5" outlineLevel="1" x14ac:dyDescent="0.25">
      <c r="A233" s="194" t="s">
        <v>4</v>
      </c>
      <c r="B233" s="195"/>
      <c r="C233" s="92"/>
      <c r="D233" s="96">
        <f>SUM(D229:D232)</f>
        <v>0</v>
      </c>
      <c r="E233" s="92"/>
    </row>
    <row r="234" spans="1:5" s="89" customFormat="1" ht="18.75" x14ac:dyDescent="0.3">
      <c r="A234" s="88" t="s">
        <v>640</v>
      </c>
      <c r="B234" s="196" t="s">
        <v>641</v>
      </c>
      <c r="C234" s="197"/>
      <c r="D234" s="197"/>
      <c r="E234" s="197"/>
    </row>
    <row r="235" spans="1:5" outlineLevel="1" x14ac:dyDescent="0.25">
      <c r="A235" s="90" t="s">
        <v>438</v>
      </c>
      <c r="B235" s="91" t="s">
        <v>439</v>
      </c>
    </row>
    <row r="236" spans="1:5" outlineLevel="1" x14ac:dyDescent="0.25">
      <c r="A236" s="90" t="s">
        <v>440</v>
      </c>
      <c r="B236" s="91" t="s">
        <v>441</v>
      </c>
    </row>
    <row r="237" spans="1:5" outlineLevel="1" x14ac:dyDescent="0.25">
      <c r="A237" s="90" t="s">
        <v>442</v>
      </c>
      <c r="B237" s="91" t="s">
        <v>443</v>
      </c>
    </row>
    <row r="238" spans="1:5" outlineLevel="1" x14ac:dyDescent="0.25">
      <c r="A238" s="90" t="s">
        <v>444</v>
      </c>
      <c r="B238" s="91" t="s">
        <v>445</v>
      </c>
    </row>
    <row r="239" spans="1:5" outlineLevel="1" x14ac:dyDescent="0.25">
      <c r="A239" s="90" t="s">
        <v>446</v>
      </c>
      <c r="B239" s="91" t="s">
        <v>447</v>
      </c>
    </row>
    <row r="240" spans="1:5" outlineLevel="1" x14ac:dyDescent="0.25">
      <c r="A240" s="90" t="s">
        <v>448</v>
      </c>
      <c r="B240" s="91" t="s">
        <v>449</v>
      </c>
    </row>
    <row r="241" spans="1:5" outlineLevel="1" x14ac:dyDescent="0.25">
      <c r="A241" s="90" t="s">
        <v>450</v>
      </c>
      <c r="B241" s="91" t="s">
        <v>451</v>
      </c>
    </row>
    <row r="242" spans="1:5" outlineLevel="1" x14ac:dyDescent="0.25">
      <c r="A242" s="90" t="s">
        <v>452</v>
      </c>
      <c r="B242" s="91" t="s">
        <v>453</v>
      </c>
    </row>
    <row r="243" spans="1:5" outlineLevel="1" x14ac:dyDescent="0.25">
      <c r="A243" s="90" t="s">
        <v>454</v>
      </c>
      <c r="B243" s="91" t="s">
        <v>455</v>
      </c>
    </row>
    <row r="244" spans="1:5" outlineLevel="1" x14ac:dyDescent="0.25">
      <c r="A244" s="90" t="s">
        <v>456</v>
      </c>
      <c r="B244" s="91" t="s">
        <v>457</v>
      </c>
    </row>
    <row r="245" spans="1:5" outlineLevel="1" x14ac:dyDescent="0.25">
      <c r="A245" s="90" t="s">
        <v>458</v>
      </c>
      <c r="B245" s="91" t="s">
        <v>459</v>
      </c>
    </row>
    <row r="246" spans="1:5" outlineLevel="1" x14ac:dyDescent="0.25">
      <c r="A246" s="90" t="s">
        <v>460</v>
      </c>
      <c r="B246" s="91" t="s">
        <v>461</v>
      </c>
    </row>
    <row r="247" spans="1:5" outlineLevel="1" x14ac:dyDescent="0.25">
      <c r="A247" s="90" t="s">
        <v>462</v>
      </c>
      <c r="B247" s="91" t="s">
        <v>463</v>
      </c>
    </row>
    <row r="248" spans="1:5" outlineLevel="1" x14ac:dyDescent="0.25">
      <c r="A248" s="90" t="s">
        <v>464</v>
      </c>
      <c r="B248" s="91" t="s">
        <v>465</v>
      </c>
    </row>
    <row r="249" spans="1:5" outlineLevel="1" x14ac:dyDescent="0.25">
      <c r="A249" s="90" t="s">
        <v>466</v>
      </c>
      <c r="B249" s="91" t="s">
        <v>467</v>
      </c>
    </row>
    <row r="250" spans="1:5" outlineLevel="1" x14ac:dyDescent="0.25">
      <c r="A250" s="194" t="s">
        <v>4</v>
      </c>
      <c r="B250" s="195"/>
      <c r="C250" s="92"/>
      <c r="D250" s="96">
        <f>SUM(D235:D249)</f>
        <v>0</v>
      </c>
      <c r="E250" s="92"/>
    </row>
    <row r="251" spans="1:5" s="89" customFormat="1" ht="18.75" x14ac:dyDescent="0.3">
      <c r="A251" s="88" t="s">
        <v>642</v>
      </c>
      <c r="B251" s="196" t="s">
        <v>643</v>
      </c>
      <c r="C251" s="197"/>
      <c r="D251" s="197"/>
      <c r="E251" s="197"/>
    </row>
    <row r="252" spans="1:5" outlineLevel="1" x14ac:dyDescent="0.25">
      <c r="A252" s="90" t="s">
        <v>468</v>
      </c>
      <c r="B252" s="91" t="s">
        <v>469</v>
      </c>
    </row>
    <row r="253" spans="1:5" outlineLevel="1" x14ac:dyDescent="0.25">
      <c r="A253" s="90" t="s">
        <v>470</v>
      </c>
      <c r="B253" s="91" t="s">
        <v>471</v>
      </c>
    </row>
    <row r="254" spans="1:5" outlineLevel="1" x14ac:dyDescent="0.25">
      <c r="A254" s="90" t="s">
        <v>472</v>
      </c>
      <c r="B254" s="91" t="s">
        <v>236</v>
      </c>
    </row>
    <row r="255" spans="1:5" outlineLevel="1" x14ac:dyDescent="0.25">
      <c r="A255" s="90" t="s">
        <v>473</v>
      </c>
      <c r="B255" s="91" t="s">
        <v>474</v>
      </c>
    </row>
    <row r="256" spans="1:5" outlineLevel="1" x14ac:dyDescent="0.25">
      <c r="A256" s="90" t="s">
        <v>475</v>
      </c>
      <c r="B256" s="91" t="s">
        <v>476</v>
      </c>
    </row>
    <row r="257" spans="1:5" outlineLevel="1" x14ac:dyDescent="0.25">
      <c r="A257" s="90" t="s">
        <v>477</v>
      </c>
      <c r="B257" s="91" t="s">
        <v>478</v>
      </c>
    </row>
    <row r="258" spans="1:5" outlineLevel="1" x14ac:dyDescent="0.25">
      <c r="A258" s="90" t="s">
        <v>479</v>
      </c>
      <c r="B258" s="91" t="s">
        <v>480</v>
      </c>
    </row>
    <row r="259" spans="1:5" outlineLevel="1" x14ac:dyDescent="0.25">
      <c r="A259" s="90" t="s">
        <v>481</v>
      </c>
      <c r="B259" s="91" t="s">
        <v>482</v>
      </c>
    </row>
    <row r="260" spans="1:5" outlineLevel="1" x14ac:dyDescent="0.25">
      <c r="A260" s="90" t="s">
        <v>483</v>
      </c>
      <c r="B260" s="91" t="s">
        <v>484</v>
      </c>
    </row>
    <row r="261" spans="1:5" outlineLevel="1" x14ac:dyDescent="0.25">
      <c r="A261" s="90" t="s">
        <v>485</v>
      </c>
      <c r="B261" s="91" t="s">
        <v>486</v>
      </c>
    </row>
    <row r="262" spans="1:5" outlineLevel="1" x14ac:dyDescent="0.25">
      <c r="A262" s="90" t="s">
        <v>487</v>
      </c>
      <c r="B262" s="91" t="s">
        <v>488</v>
      </c>
    </row>
    <row r="263" spans="1:5" outlineLevel="1" x14ac:dyDescent="0.25">
      <c r="A263" s="90" t="s">
        <v>233</v>
      </c>
      <c r="B263" s="91" t="s">
        <v>489</v>
      </c>
    </row>
    <row r="264" spans="1:5" outlineLevel="1" x14ac:dyDescent="0.25">
      <c r="A264" s="90" t="s">
        <v>232</v>
      </c>
      <c r="B264" s="91" t="s">
        <v>490</v>
      </c>
    </row>
    <row r="265" spans="1:5" outlineLevel="1" x14ac:dyDescent="0.25">
      <c r="A265" s="90" t="s">
        <v>491</v>
      </c>
      <c r="B265" s="91" t="s">
        <v>492</v>
      </c>
    </row>
    <row r="266" spans="1:5" outlineLevel="1" x14ac:dyDescent="0.25">
      <c r="A266" s="90" t="s">
        <v>493</v>
      </c>
      <c r="B266" s="91" t="s">
        <v>494</v>
      </c>
    </row>
    <row r="267" spans="1:5" outlineLevel="1" x14ac:dyDescent="0.25">
      <c r="A267" s="90" t="s">
        <v>495</v>
      </c>
      <c r="B267" s="91" t="s">
        <v>496</v>
      </c>
    </row>
    <row r="268" spans="1:5" outlineLevel="1" x14ac:dyDescent="0.25">
      <c r="A268" s="90" t="s">
        <v>497</v>
      </c>
      <c r="B268" s="91" t="s">
        <v>498</v>
      </c>
    </row>
    <row r="269" spans="1:5" outlineLevel="1" x14ac:dyDescent="0.25">
      <c r="A269" s="90" t="s">
        <v>499</v>
      </c>
      <c r="B269" s="91" t="s">
        <v>500</v>
      </c>
    </row>
    <row r="270" spans="1:5" outlineLevel="1" x14ac:dyDescent="0.25">
      <c r="A270" s="90" t="s">
        <v>501</v>
      </c>
      <c r="B270" s="91" t="s">
        <v>502</v>
      </c>
    </row>
    <row r="271" spans="1:5" outlineLevel="1" x14ac:dyDescent="0.25">
      <c r="A271" s="90" t="s">
        <v>503</v>
      </c>
      <c r="B271" s="91" t="s">
        <v>504</v>
      </c>
      <c r="D271" s="158"/>
    </row>
    <row r="272" spans="1:5" outlineLevel="1" x14ac:dyDescent="0.25">
      <c r="A272" s="194" t="s">
        <v>4</v>
      </c>
      <c r="B272" s="195"/>
      <c r="C272" s="92"/>
      <c r="D272" s="96">
        <f>SUM(D252:D271)</f>
        <v>0</v>
      </c>
      <c r="E272" s="92"/>
    </row>
    <row r="273" spans="1:5" s="89" customFormat="1" ht="18.75" x14ac:dyDescent="0.3">
      <c r="A273" s="88" t="s">
        <v>644</v>
      </c>
      <c r="B273" s="196" t="s">
        <v>645</v>
      </c>
      <c r="C273" s="197"/>
      <c r="D273" s="197"/>
      <c r="E273" s="197"/>
    </row>
    <row r="274" spans="1:5" outlineLevel="1" x14ac:dyDescent="0.25">
      <c r="A274" s="90" t="s">
        <v>505</v>
      </c>
      <c r="B274" s="91" t="s">
        <v>506</v>
      </c>
    </row>
    <row r="275" spans="1:5" outlineLevel="1" x14ac:dyDescent="0.25">
      <c r="A275" s="90" t="s">
        <v>507</v>
      </c>
      <c r="B275" s="91" t="s">
        <v>508</v>
      </c>
      <c r="D275" s="159"/>
    </row>
    <row r="276" spans="1:5" outlineLevel="1" x14ac:dyDescent="0.25">
      <c r="A276" s="90" t="s">
        <v>509</v>
      </c>
      <c r="B276" s="91" t="s">
        <v>510</v>
      </c>
    </row>
    <row r="277" spans="1:5" outlineLevel="1" x14ac:dyDescent="0.25">
      <c r="A277" s="90" t="s">
        <v>511</v>
      </c>
      <c r="B277" s="91" t="s">
        <v>512</v>
      </c>
    </row>
    <row r="278" spans="1:5" outlineLevel="1" x14ac:dyDescent="0.25">
      <c r="A278" s="90" t="s">
        <v>513</v>
      </c>
      <c r="B278" s="91" t="s">
        <v>514</v>
      </c>
    </row>
    <row r="279" spans="1:5" outlineLevel="1" x14ac:dyDescent="0.25">
      <c r="A279" s="90" t="s">
        <v>515</v>
      </c>
      <c r="B279" s="91" t="s">
        <v>516</v>
      </c>
    </row>
    <row r="280" spans="1:5" outlineLevel="1" x14ac:dyDescent="0.25">
      <c r="A280" s="90" t="s">
        <v>517</v>
      </c>
      <c r="B280" s="91" t="s">
        <v>518</v>
      </c>
    </row>
    <row r="281" spans="1:5" outlineLevel="1" x14ac:dyDescent="0.25">
      <c r="A281" s="90" t="s">
        <v>519</v>
      </c>
      <c r="B281" s="91" t="s">
        <v>520</v>
      </c>
    </row>
    <row r="282" spans="1:5" outlineLevel="1" x14ac:dyDescent="0.25">
      <c r="A282" s="90" t="s">
        <v>521</v>
      </c>
      <c r="B282" s="91" t="s">
        <v>522</v>
      </c>
    </row>
    <row r="283" spans="1:5" outlineLevel="1" x14ac:dyDescent="0.25">
      <c r="A283" s="90" t="s">
        <v>523</v>
      </c>
      <c r="B283" s="91" t="s">
        <v>524</v>
      </c>
    </row>
    <row r="284" spans="1:5" outlineLevel="1" x14ac:dyDescent="0.25">
      <c r="A284" s="90" t="s">
        <v>235</v>
      </c>
      <c r="B284" s="91" t="s">
        <v>525</v>
      </c>
    </row>
    <row r="285" spans="1:5" outlineLevel="1" x14ac:dyDescent="0.25">
      <c r="A285" s="90" t="s">
        <v>526</v>
      </c>
      <c r="B285" s="91" t="s">
        <v>527</v>
      </c>
    </row>
    <row r="286" spans="1:5" outlineLevel="1" x14ac:dyDescent="0.25">
      <c r="A286" s="194" t="s">
        <v>4</v>
      </c>
      <c r="B286" s="195"/>
      <c r="C286" s="92"/>
      <c r="D286" s="96">
        <f>SUM(D274:D285)</f>
        <v>0</v>
      </c>
      <c r="E286" s="92"/>
    </row>
    <row r="287" spans="1:5" s="89" customFormat="1" ht="18.75" x14ac:dyDescent="0.3">
      <c r="A287" s="88" t="s">
        <v>646</v>
      </c>
      <c r="B287" s="196" t="s">
        <v>647</v>
      </c>
      <c r="C287" s="197"/>
      <c r="D287" s="197"/>
      <c r="E287" s="197"/>
    </row>
    <row r="288" spans="1:5" outlineLevel="1" x14ac:dyDescent="0.25">
      <c r="A288" s="90" t="s">
        <v>528</v>
      </c>
      <c r="B288" s="91" t="s">
        <v>529</v>
      </c>
    </row>
    <row r="289" spans="1:5" outlineLevel="1" x14ac:dyDescent="0.25">
      <c r="A289" s="90" t="s">
        <v>530</v>
      </c>
      <c r="B289" s="91" t="s">
        <v>531</v>
      </c>
    </row>
    <row r="290" spans="1:5" outlineLevel="1" x14ac:dyDescent="0.25">
      <c r="A290" s="90" t="s">
        <v>532</v>
      </c>
      <c r="B290" s="91" t="s">
        <v>533</v>
      </c>
    </row>
    <row r="291" spans="1:5" outlineLevel="1" x14ac:dyDescent="0.25">
      <c r="A291" s="194" t="s">
        <v>4</v>
      </c>
      <c r="B291" s="195"/>
      <c r="C291" s="92"/>
      <c r="D291" s="96">
        <f>SUM(D288:D290)</f>
        <v>0</v>
      </c>
      <c r="E291" s="92"/>
    </row>
    <row r="292" spans="1:5" ht="18.75" x14ac:dyDescent="0.3">
      <c r="A292" s="88" t="s">
        <v>648</v>
      </c>
      <c r="B292" s="196" t="s">
        <v>649</v>
      </c>
      <c r="C292" s="197"/>
      <c r="D292" s="197"/>
      <c r="E292" s="197"/>
    </row>
    <row r="293" spans="1:5" outlineLevel="1" x14ac:dyDescent="0.25">
      <c r="A293" s="90" t="s">
        <v>650</v>
      </c>
      <c r="B293" s="91" t="s">
        <v>651</v>
      </c>
    </row>
    <row r="294" spans="1:5" outlineLevel="1" x14ac:dyDescent="0.25">
      <c r="A294" s="194" t="s">
        <v>4</v>
      </c>
      <c r="B294" s="195"/>
      <c r="C294" s="92"/>
      <c r="D294" s="96">
        <f>SUM(D293)</f>
        <v>0</v>
      </c>
      <c r="E294" s="92"/>
    </row>
    <row r="295" spans="1:5" s="89" customFormat="1" ht="18.75" x14ac:dyDescent="0.3">
      <c r="A295" s="88" t="s">
        <v>652</v>
      </c>
      <c r="B295" s="196" t="s">
        <v>653</v>
      </c>
      <c r="C295" s="197"/>
      <c r="D295" s="197"/>
      <c r="E295" s="197"/>
    </row>
    <row r="296" spans="1:5" outlineLevel="1" x14ac:dyDescent="0.25">
      <c r="A296" s="90" t="s">
        <v>534</v>
      </c>
      <c r="B296" s="91" t="s">
        <v>535</v>
      </c>
    </row>
    <row r="297" spans="1:5" outlineLevel="1" x14ac:dyDescent="0.25">
      <c r="A297" s="90" t="s">
        <v>536</v>
      </c>
      <c r="B297" s="91" t="s">
        <v>537</v>
      </c>
    </row>
    <row r="298" spans="1:5" outlineLevel="1" x14ac:dyDescent="0.25">
      <c r="A298" s="90" t="s">
        <v>538</v>
      </c>
      <c r="B298" s="91" t="s">
        <v>190</v>
      </c>
    </row>
    <row r="299" spans="1:5" outlineLevel="1" x14ac:dyDescent="0.25">
      <c r="A299" s="90" t="s">
        <v>539</v>
      </c>
      <c r="B299" s="91" t="s">
        <v>540</v>
      </c>
    </row>
    <row r="300" spans="1:5" outlineLevel="1" x14ac:dyDescent="0.25">
      <c r="A300" s="90" t="s">
        <v>541</v>
      </c>
      <c r="B300" s="91" t="s">
        <v>542</v>
      </c>
    </row>
    <row r="301" spans="1:5" outlineLevel="1" x14ac:dyDescent="0.25">
      <c r="A301" s="90" t="s">
        <v>543</v>
      </c>
      <c r="B301" s="91" t="s">
        <v>544</v>
      </c>
    </row>
    <row r="302" spans="1:5" outlineLevel="1" x14ac:dyDescent="0.25">
      <c r="A302" s="90" t="s">
        <v>545</v>
      </c>
      <c r="B302" s="91" t="s">
        <v>546</v>
      </c>
    </row>
    <row r="303" spans="1:5" outlineLevel="1" x14ac:dyDescent="0.25">
      <c r="A303" s="90" t="s">
        <v>547</v>
      </c>
      <c r="B303" s="91" t="s">
        <v>548</v>
      </c>
    </row>
    <row r="304" spans="1:5" outlineLevel="1" x14ac:dyDescent="0.25">
      <c r="A304" s="90" t="s">
        <v>549</v>
      </c>
      <c r="B304" s="91" t="s">
        <v>550</v>
      </c>
    </row>
    <row r="305" spans="1:5" outlineLevel="1" x14ac:dyDescent="0.25">
      <c r="A305" s="90" t="s">
        <v>551</v>
      </c>
      <c r="B305" s="91" t="s">
        <v>552</v>
      </c>
    </row>
    <row r="306" spans="1:5" outlineLevel="1" x14ac:dyDescent="0.25">
      <c r="A306" s="90" t="s">
        <v>553</v>
      </c>
      <c r="B306" s="91" t="s">
        <v>554</v>
      </c>
    </row>
    <row r="307" spans="1:5" outlineLevel="1" x14ac:dyDescent="0.25">
      <c r="A307" s="90" t="s">
        <v>555</v>
      </c>
      <c r="B307" s="91" t="s">
        <v>556</v>
      </c>
    </row>
    <row r="308" spans="1:5" outlineLevel="1" x14ac:dyDescent="0.25">
      <c r="A308" s="90" t="s">
        <v>557</v>
      </c>
      <c r="B308" s="91" t="s">
        <v>558</v>
      </c>
    </row>
    <row r="309" spans="1:5" outlineLevel="1" x14ac:dyDescent="0.25">
      <c r="A309" s="90" t="s">
        <v>559</v>
      </c>
      <c r="B309" s="91" t="s">
        <v>560</v>
      </c>
    </row>
    <row r="310" spans="1:5" outlineLevel="1" x14ac:dyDescent="0.25">
      <c r="A310" s="90" t="s">
        <v>561</v>
      </c>
      <c r="B310" s="91" t="s">
        <v>562</v>
      </c>
    </row>
    <row r="311" spans="1:5" outlineLevel="1" x14ac:dyDescent="0.25">
      <c r="A311" s="90" t="s">
        <v>563</v>
      </c>
      <c r="B311" s="91" t="s">
        <v>564</v>
      </c>
    </row>
    <row r="312" spans="1:5" outlineLevel="1" x14ac:dyDescent="0.25">
      <c r="A312" s="90" t="s">
        <v>565</v>
      </c>
      <c r="B312" s="91" t="s">
        <v>566</v>
      </c>
    </row>
    <row r="313" spans="1:5" outlineLevel="1" x14ac:dyDescent="0.25">
      <c r="A313" s="90" t="s">
        <v>567</v>
      </c>
      <c r="B313" s="91" t="s">
        <v>568</v>
      </c>
    </row>
    <row r="314" spans="1:5" outlineLevel="1" x14ac:dyDescent="0.25">
      <c r="A314" s="90" t="s">
        <v>569</v>
      </c>
      <c r="B314" s="91" t="s">
        <v>189</v>
      </c>
    </row>
    <row r="315" spans="1:5" outlineLevel="1" x14ac:dyDescent="0.25">
      <c r="A315" s="90" t="s">
        <v>570</v>
      </c>
      <c r="B315" s="91" t="s">
        <v>571</v>
      </c>
    </row>
    <row r="316" spans="1:5" outlineLevel="1" x14ac:dyDescent="0.25">
      <c r="A316" s="194" t="s">
        <v>4</v>
      </c>
      <c r="B316" s="195"/>
      <c r="C316" s="92"/>
      <c r="D316" s="96">
        <f>SUM(D296:D315)</f>
        <v>0</v>
      </c>
      <c r="E316" s="92"/>
    </row>
    <row r="317" spans="1:5" s="99" customFormat="1" x14ac:dyDescent="0.25">
      <c r="A317" s="97"/>
      <c r="B317" s="98"/>
      <c r="D317" s="148"/>
    </row>
    <row r="318" spans="1:5" ht="21" x14ac:dyDescent="0.35">
      <c r="A318" s="200" t="s">
        <v>28</v>
      </c>
      <c r="B318" s="201"/>
      <c r="C318" s="92"/>
      <c r="D318" s="149">
        <f>ROUNDUP(SUMIF(A2:A316,"*Total*",D2:D316), 0)+'General Conditions'!C76</f>
        <v>287502</v>
      </c>
      <c r="E318" s="92"/>
    </row>
    <row r="319" spans="1:5" x14ac:dyDescent="0.25">
      <c r="D319" s="150"/>
    </row>
    <row r="320" spans="1:5" ht="21" x14ac:dyDescent="0.35">
      <c r="A320" s="198" t="s">
        <v>656</v>
      </c>
      <c r="B320" s="198"/>
      <c r="C320" s="101">
        <v>0.05</v>
      </c>
      <c r="D320" s="106">
        <f>ROUNDUP(D318 * C320, 0)</f>
        <v>14376</v>
      </c>
      <c r="E320" s="102"/>
    </row>
    <row r="321" spans="1:5" ht="21" x14ac:dyDescent="0.35">
      <c r="A321" s="198" t="s">
        <v>30</v>
      </c>
      <c r="B321" s="198"/>
      <c r="C321" s="103">
        <v>1.35E-2</v>
      </c>
      <c r="D321" s="106">
        <f>ROUNDUP(D318 * C321, 0)</f>
        <v>3882</v>
      </c>
      <c r="E321" s="102"/>
    </row>
    <row r="322" spans="1:5" ht="21" x14ac:dyDescent="0.35">
      <c r="A322" s="198" t="s">
        <v>31</v>
      </c>
      <c r="B322" s="198"/>
      <c r="C322" s="101">
        <v>0.1</v>
      </c>
      <c r="D322" s="106">
        <f>ROUNDUP(D321+D318 * C322, 0)</f>
        <v>32633</v>
      </c>
      <c r="E322" s="102"/>
    </row>
    <row r="323" spans="1:5" ht="21" x14ac:dyDescent="0.35">
      <c r="A323" s="102"/>
      <c r="B323" s="102"/>
      <c r="C323" s="102"/>
      <c r="D323" s="106"/>
      <c r="E323" s="102"/>
    </row>
    <row r="324" spans="1:5" ht="21" x14ac:dyDescent="0.35">
      <c r="A324" s="199" t="s">
        <v>4</v>
      </c>
      <c r="B324" s="199"/>
      <c r="C324" s="104"/>
      <c r="D324" s="105">
        <f>SUM(D318:D322)</f>
        <v>338393</v>
      </c>
      <c r="E324" s="104"/>
    </row>
  </sheetData>
  <sheetProtection algorithmName="SHA-512" hashValue="17ya3k+cBRn2lCizvQpCHsf52v84KmK2abjHZlZM1Jcjuvv2H8CT1IJY2zLgK9yt6waH7NlGooAr0XRZafv3HA==" saltValue="SRvF5oTdzbz2xgfWWIrPEg==" spinCount="100000" sheet="1" objects="1" scenarios="1"/>
  <mergeCells count="57">
    <mergeCell ref="B234:E234"/>
    <mergeCell ref="B251:E251"/>
    <mergeCell ref="B273:E273"/>
    <mergeCell ref="B287:E287"/>
    <mergeCell ref="B292:E292"/>
    <mergeCell ref="A211:B211"/>
    <mergeCell ref="A184:B184"/>
    <mergeCell ref="B163:E163"/>
    <mergeCell ref="B170:E170"/>
    <mergeCell ref="B174:E174"/>
    <mergeCell ref="A198:B198"/>
    <mergeCell ref="A208:B208"/>
    <mergeCell ref="B209:E209"/>
    <mergeCell ref="A222:B222"/>
    <mergeCell ref="A227:B227"/>
    <mergeCell ref="B2:E2"/>
    <mergeCell ref="B14:E14"/>
    <mergeCell ref="B27:E27"/>
    <mergeCell ref="B34:E34"/>
    <mergeCell ref="B47:E47"/>
    <mergeCell ref="B212:E212"/>
    <mergeCell ref="B223:E223"/>
    <mergeCell ref="A147:B147"/>
    <mergeCell ref="A154:B154"/>
    <mergeCell ref="A162:B162"/>
    <mergeCell ref="A169:B169"/>
    <mergeCell ref="A173:B173"/>
    <mergeCell ref="B148:E148"/>
    <mergeCell ref="B155:E155"/>
    <mergeCell ref="A322:B322"/>
    <mergeCell ref="A324:B324"/>
    <mergeCell ref="A250:B250"/>
    <mergeCell ref="A272:B272"/>
    <mergeCell ref="A286:B286"/>
    <mergeCell ref="A291:B291"/>
    <mergeCell ref="A294:B294"/>
    <mergeCell ref="A318:B318"/>
    <mergeCell ref="A316:B316"/>
    <mergeCell ref="A320:B320"/>
    <mergeCell ref="A321:B321"/>
    <mergeCell ref="B295:E295"/>
    <mergeCell ref="A233:B233"/>
    <mergeCell ref="B228:E228"/>
    <mergeCell ref="A13:B13"/>
    <mergeCell ref="A46:B46"/>
    <mergeCell ref="A53:B53"/>
    <mergeCell ref="A73:B73"/>
    <mergeCell ref="A99:B99"/>
    <mergeCell ref="B126:E126"/>
    <mergeCell ref="B74:E74"/>
    <mergeCell ref="A125:B125"/>
    <mergeCell ref="A33:B33"/>
    <mergeCell ref="A26:B26"/>
    <mergeCell ref="B54:E54"/>
    <mergeCell ref="B100:E100"/>
    <mergeCell ref="B185:E185"/>
    <mergeCell ref="B199:E199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AD133"/>
  <sheetViews>
    <sheetView zoomScaleNormal="100" workbookViewId="0">
      <pane xSplit="2" ySplit="1" topLeftCell="F110" activePane="bottomRight" state="frozen"/>
      <selection pane="topRight" activeCell="C1" sqref="C1"/>
      <selection pane="bottomLeft" activeCell="A2" sqref="A2"/>
      <selection pane="bottomRight" activeCell="C147" sqref="C147"/>
    </sheetView>
  </sheetViews>
  <sheetFormatPr defaultRowHeight="15" x14ac:dyDescent="0.25"/>
  <cols>
    <col min="2" max="3" width="33.5703125" customWidth="1"/>
    <col min="4" max="4" width="19.42578125" customWidth="1"/>
    <col min="5" max="5" width="25.140625" bestFit="1" customWidth="1"/>
    <col min="6" max="6" width="17.5703125" bestFit="1" customWidth="1"/>
    <col min="7" max="7" width="23.85546875" customWidth="1"/>
    <col min="8" max="8" width="36.5703125" customWidth="1"/>
    <col min="9" max="9" width="17.5703125" customWidth="1"/>
    <col min="10" max="10" width="22.5703125" customWidth="1"/>
    <col min="11" max="11" width="60.42578125" customWidth="1"/>
    <col min="12" max="12" width="19.140625" customWidth="1"/>
    <col min="13" max="13" width="17" customWidth="1"/>
    <col min="14" max="14" width="17.140625" customWidth="1"/>
    <col min="15" max="15" width="17.5703125" customWidth="1"/>
    <col min="16" max="16" width="17.140625" customWidth="1"/>
    <col min="17" max="17" width="17.85546875" customWidth="1"/>
    <col min="18" max="18" width="17" customWidth="1"/>
    <col min="19" max="19" width="18.42578125" customWidth="1"/>
    <col min="20" max="20" width="17.5703125" customWidth="1"/>
    <col min="21" max="21" width="17.42578125" customWidth="1"/>
  </cols>
  <sheetData>
    <row r="1" spans="1:30" s="7" customFormat="1" ht="15.75" thickBot="1" x14ac:dyDescent="0.3">
      <c r="B1" s="7" t="s">
        <v>572</v>
      </c>
      <c r="C1" s="82" t="s">
        <v>583</v>
      </c>
      <c r="D1" s="58" t="s">
        <v>573</v>
      </c>
      <c r="E1" s="59" t="s">
        <v>574</v>
      </c>
      <c r="F1" s="59" t="s">
        <v>575</v>
      </c>
      <c r="G1" s="59" t="s">
        <v>0</v>
      </c>
      <c r="H1" s="59" t="s">
        <v>576</v>
      </c>
      <c r="I1" s="59" t="s">
        <v>577</v>
      </c>
      <c r="J1" s="59" t="s">
        <v>578</v>
      </c>
      <c r="K1" s="59" t="s">
        <v>188</v>
      </c>
      <c r="L1" s="58" t="s">
        <v>579</v>
      </c>
      <c r="M1" s="58" t="s">
        <v>579</v>
      </c>
      <c r="N1" s="58" t="s">
        <v>579</v>
      </c>
      <c r="O1" s="58" t="s">
        <v>579</v>
      </c>
      <c r="P1" s="58" t="s">
        <v>579</v>
      </c>
      <c r="Q1" s="58" t="s">
        <v>579</v>
      </c>
      <c r="R1" s="58" t="s">
        <v>579</v>
      </c>
      <c r="S1" s="58" t="s">
        <v>579</v>
      </c>
      <c r="T1" s="58" t="s">
        <v>579</v>
      </c>
      <c r="U1" s="58" t="s">
        <v>579</v>
      </c>
    </row>
    <row r="2" spans="1:30" s="8" customFormat="1" x14ac:dyDescent="0.25">
      <c r="B2" s="9" t="s">
        <v>191</v>
      </c>
      <c r="C2" s="83"/>
      <c r="D2" s="80"/>
      <c r="E2" s="6"/>
      <c r="F2" s="6"/>
      <c r="G2" s="60"/>
      <c r="H2" s="63"/>
      <c r="I2" s="63"/>
      <c r="J2" s="5"/>
      <c r="K2" s="5"/>
      <c r="L2" s="72"/>
      <c r="M2" s="11"/>
      <c r="N2" s="11"/>
      <c r="O2" s="11"/>
      <c r="P2" s="11"/>
      <c r="Q2" s="11"/>
      <c r="R2" s="11"/>
      <c r="S2" s="11"/>
      <c r="T2" s="11"/>
      <c r="U2" s="11"/>
    </row>
    <row r="3" spans="1:30" s="12" customFormat="1" x14ac:dyDescent="0.25">
      <c r="A3" s="12">
        <v>1</v>
      </c>
      <c r="B3" s="13"/>
      <c r="C3" s="84"/>
      <c r="D3" s="85"/>
      <c r="E3" s="84"/>
      <c r="F3" s="84"/>
      <c r="G3" s="61"/>
      <c r="H3" s="64"/>
      <c r="I3" s="64"/>
      <c r="J3" s="1"/>
      <c r="K3" s="1"/>
      <c r="L3" s="4"/>
      <c r="M3" s="2"/>
      <c r="N3" s="2"/>
      <c r="O3" s="2"/>
      <c r="P3" s="2"/>
      <c r="Q3" s="2"/>
      <c r="R3" s="2"/>
      <c r="S3" s="2"/>
      <c r="T3" s="2"/>
      <c r="U3" s="2"/>
    </row>
    <row r="4" spans="1:30" s="12" customFormat="1" x14ac:dyDescent="0.25">
      <c r="A4" s="12">
        <v>2</v>
      </c>
      <c r="B4" s="13"/>
      <c r="C4" s="52" t="s">
        <v>7</v>
      </c>
      <c r="D4" s="13"/>
      <c r="E4" s="52"/>
      <c r="F4" s="52"/>
      <c r="G4" s="61"/>
      <c r="H4" s="64"/>
      <c r="I4" s="64"/>
      <c r="J4" s="1"/>
      <c r="K4" s="1"/>
      <c r="L4" s="4"/>
      <c r="M4" s="2"/>
      <c r="N4" s="2"/>
      <c r="O4" s="2"/>
      <c r="P4" s="2"/>
      <c r="Q4" s="2"/>
      <c r="R4" s="2"/>
      <c r="S4" s="2"/>
      <c r="T4" s="2"/>
      <c r="U4" s="2"/>
    </row>
    <row r="5" spans="1:30" s="12" customFormat="1" x14ac:dyDescent="0.25">
      <c r="A5" s="12">
        <v>3</v>
      </c>
      <c r="B5" s="13"/>
      <c r="C5" s="52"/>
      <c r="D5" s="13"/>
      <c r="E5" s="52"/>
      <c r="F5" s="52"/>
      <c r="G5" s="61"/>
      <c r="H5" s="64"/>
      <c r="I5" s="64"/>
      <c r="J5" s="1"/>
      <c r="K5" s="1"/>
      <c r="L5" s="4"/>
      <c r="M5" s="2"/>
      <c r="N5" s="2"/>
      <c r="O5" s="2"/>
      <c r="P5" s="2"/>
      <c r="Q5" s="2"/>
      <c r="R5" s="2"/>
      <c r="S5" s="2"/>
      <c r="T5" s="2"/>
      <c r="U5" s="2"/>
    </row>
    <row r="6" spans="1:30" s="12" customFormat="1" x14ac:dyDescent="0.25">
      <c r="A6" s="12">
        <v>4</v>
      </c>
      <c r="B6" s="13"/>
      <c r="C6" s="52"/>
      <c r="D6" s="13"/>
      <c r="E6" s="52"/>
      <c r="F6" s="52"/>
      <c r="G6" s="61"/>
      <c r="H6" s="64"/>
      <c r="I6" s="64"/>
      <c r="J6" s="1"/>
      <c r="K6" s="1"/>
      <c r="L6" s="4"/>
      <c r="M6" s="2"/>
      <c r="N6" s="2"/>
      <c r="O6" s="2"/>
      <c r="P6" s="2"/>
      <c r="Q6" s="2"/>
      <c r="R6" s="2"/>
      <c r="S6" s="2"/>
      <c r="T6" s="2"/>
      <c r="U6" s="2"/>
    </row>
    <row r="7" spans="1:30" s="15" customFormat="1" x14ac:dyDescent="0.25">
      <c r="A7" s="15">
        <v>5</v>
      </c>
      <c r="B7" s="16"/>
      <c r="C7" s="53"/>
      <c r="D7" s="16"/>
      <c r="E7" s="53"/>
      <c r="F7" s="53"/>
      <c r="G7" s="62"/>
      <c r="H7" s="65"/>
      <c r="I7" s="65"/>
      <c r="J7" s="51"/>
      <c r="K7" s="51"/>
      <c r="L7" s="73"/>
      <c r="M7" s="18"/>
      <c r="N7" s="18"/>
      <c r="O7" s="18"/>
      <c r="P7" s="18"/>
      <c r="Q7" s="18"/>
      <c r="R7" s="18"/>
      <c r="S7" s="18"/>
      <c r="T7" s="18"/>
      <c r="U7" s="18"/>
    </row>
    <row r="8" spans="1:30" s="8" customFormat="1" x14ac:dyDescent="0.25">
      <c r="B8" s="9" t="s">
        <v>192</v>
      </c>
      <c r="C8" s="6">
        <f>COUNTIF(C9:C13,"Yes")</f>
        <v>3</v>
      </c>
      <c r="D8" s="9"/>
      <c r="E8" s="6"/>
      <c r="F8" s="6"/>
      <c r="G8" s="5"/>
      <c r="H8" s="63"/>
      <c r="I8" s="63"/>
      <c r="J8" s="5"/>
      <c r="K8" s="5"/>
      <c r="L8" s="72"/>
      <c r="M8" s="11"/>
      <c r="N8" s="11"/>
      <c r="O8" s="11"/>
      <c r="P8" s="11"/>
      <c r="Q8" s="11"/>
      <c r="R8" s="11"/>
      <c r="S8" s="11"/>
      <c r="T8" s="11"/>
      <c r="U8" s="11"/>
    </row>
    <row r="9" spans="1:30" s="12" customFormat="1" x14ac:dyDescent="0.25">
      <c r="A9" s="12">
        <v>1</v>
      </c>
      <c r="B9" s="13" t="s">
        <v>584</v>
      </c>
      <c r="C9" s="52" t="s">
        <v>581</v>
      </c>
      <c r="D9" s="13" t="s">
        <v>581</v>
      </c>
      <c r="E9" s="52" t="s">
        <v>581</v>
      </c>
      <c r="F9" s="52" t="s">
        <v>582</v>
      </c>
      <c r="G9" s="1"/>
      <c r="H9" s="64"/>
      <c r="I9" s="64"/>
      <c r="J9" s="1"/>
      <c r="K9" s="1"/>
      <c r="L9" s="4"/>
      <c r="M9" s="2"/>
      <c r="N9" s="2"/>
      <c r="O9" s="2"/>
      <c r="P9" s="2"/>
      <c r="Q9" s="2"/>
      <c r="R9" s="2"/>
      <c r="S9" s="2"/>
      <c r="T9" s="2"/>
      <c r="U9" s="2"/>
    </row>
    <row r="10" spans="1:30" s="12" customFormat="1" x14ac:dyDescent="0.25">
      <c r="A10" s="12">
        <v>2</v>
      </c>
      <c r="B10" s="13"/>
      <c r="C10" s="52" t="s">
        <v>581</v>
      </c>
      <c r="D10" s="13"/>
      <c r="E10" s="52"/>
      <c r="F10" s="52"/>
      <c r="G10" s="1"/>
      <c r="H10" s="64"/>
      <c r="I10" s="64"/>
      <c r="J10" s="1"/>
      <c r="K10" s="1"/>
      <c r="L10" s="4"/>
      <c r="M10" s="2"/>
      <c r="N10" s="2"/>
      <c r="O10" s="2"/>
      <c r="P10" s="2"/>
      <c r="Q10" s="2"/>
      <c r="R10" s="2"/>
      <c r="S10" s="2"/>
      <c r="T10" s="2"/>
      <c r="U10" s="2"/>
    </row>
    <row r="11" spans="1:30" s="12" customFormat="1" x14ac:dyDescent="0.25">
      <c r="A11" s="12">
        <v>3</v>
      </c>
      <c r="B11" s="13"/>
      <c r="C11" s="52" t="s">
        <v>582</v>
      </c>
      <c r="D11" s="13"/>
      <c r="E11" s="52"/>
      <c r="F11" s="52"/>
      <c r="G11" s="1"/>
      <c r="H11" s="64"/>
      <c r="I11" s="64"/>
      <c r="J11" s="1"/>
      <c r="K11" s="1"/>
      <c r="L11" s="4"/>
      <c r="M11" s="2"/>
      <c r="N11" s="2"/>
      <c r="O11" s="2"/>
      <c r="P11" s="2"/>
      <c r="Q11" s="2"/>
      <c r="R11" s="2"/>
      <c r="S11" s="2"/>
      <c r="T11" s="2"/>
      <c r="U11" s="2"/>
    </row>
    <row r="12" spans="1:30" s="12" customFormat="1" x14ac:dyDescent="0.25">
      <c r="A12" s="12">
        <v>4</v>
      </c>
      <c r="B12" s="13"/>
      <c r="C12" s="52" t="s">
        <v>582</v>
      </c>
      <c r="D12" s="13"/>
      <c r="E12" s="52"/>
      <c r="F12" s="52"/>
      <c r="G12" s="1"/>
      <c r="H12" s="64"/>
      <c r="I12" s="64"/>
      <c r="J12" s="1"/>
      <c r="K12" s="1"/>
      <c r="L12" s="4"/>
      <c r="M12" s="2"/>
      <c r="N12" s="2"/>
      <c r="O12" s="2"/>
      <c r="P12" s="2"/>
      <c r="Q12" s="2"/>
      <c r="R12" s="2"/>
      <c r="S12" s="2"/>
      <c r="T12" s="2"/>
      <c r="U12" s="2"/>
    </row>
    <row r="13" spans="1:30" s="15" customFormat="1" x14ac:dyDescent="0.25">
      <c r="A13" s="15">
        <v>5</v>
      </c>
      <c r="B13" s="16"/>
      <c r="C13" s="53" t="s">
        <v>581</v>
      </c>
      <c r="D13" s="16"/>
      <c r="E13" s="53"/>
      <c r="F13" s="53"/>
      <c r="G13" s="51"/>
      <c r="H13" s="65"/>
      <c r="I13" s="65"/>
      <c r="J13" s="51"/>
      <c r="K13" s="51"/>
      <c r="L13" s="73"/>
      <c r="M13" s="18"/>
      <c r="N13" s="18"/>
      <c r="O13" s="18"/>
      <c r="P13" s="18"/>
      <c r="Q13" s="18"/>
      <c r="R13" s="18"/>
      <c r="S13" s="18"/>
      <c r="T13" s="18"/>
      <c r="U13" s="18"/>
    </row>
    <row r="14" spans="1:30" s="8" customFormat="1" x14ac:dyDescent="0.25">
      <c r="B14" s="9" t="s">
        <v>194</v>
      </c>
      <c r="C14" s="6">
        <f>COUNTIF(C15:C19,"yes")</f>
        <v>0</v>
      </c>
      <c r="D14" s="9"/>
      <c r="E14" s="6"/>
      <c r="F14" s="6"/>
      <c r="G14" s="63"/>
      <c r="H14" s="63"/>
      <c r="I14" s="63"/>
      <c r="J14" s="66"/>
      <c r="K14" s="63"/>
      <c r="L14" s="74"/>
      <c r="M14" s="19"/>
      <c r="N14" s="19"/>
      <c r="O14" s="19"/>
      <c r="P14" s="20"/>
      <c r="Q14" s="19"/>
      <c r="R14" s="21"/>
      <c r="S14" s="22"/>
      <c r="T14" s="19"/>
      <c r="U14" s="23"/>
      <c r="V14" s="24"/>
      <c r="W14" s="25"/>
      <c r="X14" s="10"/>
      <c r="Y14" s="26"/>
      <c r="Z14" s="24"/>
      <c r="AA14" s="25"/>
      <c r="AB14" s="24"/>
      <c r="AC14" s="25"/>
      <c r="AD14" s="25"/>
    </row>
    <row r="15" spans="1:30" s="12" customFormat="1" x14ac:dyDescent="0.25">
      <c r="A15" s="12">
        <v>1</v>
      </c>
      <c r="B15" s="13"/>
      <c r="C15" s="52"/>
      <c r="D15" s="13"/>
      <c r="E15" s="52"/>
      <c r="F15" s="52"/>
      <c r="G15" s="64"/>
      <c r="H15" s="64"/>
      <c r="I15" s="64"/>
      <c r="J15" s="67"/>
      <c r="K15" s="64"/>
      <c r="L15" s="75"/>
      <c r="M15" s="27"/>
      <c r="N15" s="27"/>
      <c r="O15" s="27"/>
      <c r="P15" s="28"/>
      <c r="Q15" s="27"/>
      <c r="R15" s="3"/>
      <c r="S15" s="29"/>
      <c r="T15" s="27"/>
      <c r="U15" s="30"/>
      <c r="V15" s="31"/>
      <c r="W15" s="32"/>
      <c r="X15" s="14"/>
      <c r="Y15" s="33"/>
      <c r="Z15" s="31"/>
      <c r="AA15" s="32"/>
      <c r="AB15" s="31"/>
      <c r="AC15" s="32"/>
      <c r="AD15" s="32"/>
    </row>
    <row r="16" spans="1:30" s="12" customFormat="1" x14ac:dyDescent="0.25">
      <c r="A16" s="12">
        <v>2</v>
      </c>
      <c r="B16" s="13"/>
      <c r="C16" s="52"/>
      <c r="D16" s="13"/>
      <c r="E16" s="52"/>
      <c r="F16" s="52"/>
      <c r="G16" s="64"/>
      <c r="H16" s="64"/>
      <c r="I16" s="64"/>
      <c r="J16" s="67"/>
      <c r="K16" s="64"/>
      <c r="L16" s="75"/>
      <c r="M16" s="27"/>
      <c r="N16" s="27"/>
      <c r="O16" s="27"/>
      <c r="P16" s="28"/>
      <c r="Q16" s="27"/>
      <c r="R16" s="3"/>
      <c r="S16" s="29"/>
      <c r="T16" s="27"/>
      <c r="U16" s="30"/>
      <c r="V16" s="31"/>
      <c r="W16" s="32"/>
      <c r="X16" s="14"/>
      <c r="Y16" s="33"/>
      <c r="Z16" s="31"/>
      <c r="AA16" s="32"/>
      <c r="AB16" s="31"/>
      <c r="AC16" s="32"/>
      <c r="AD16" s="32"/>
    </row>
    <row r="17" spans="1:30" s="12" customFormat="1" x14ac:dyDescent="0.25">
      <c r="A17" s="12">
        <v>3</v>
      </c>
      <c r="B17" s="13"/>
      <c r="C17" s="52"/>
      <c r="D17" s="13"/>
      <c r="E17" s="52"/>
      <c r="F17" s="52"/>
      <c r="G17" s="64"/>
      <c r="H17" s="64"/>
      <c r="I17" s="64"/>
      <c r="J17" s="67"/>
      <c r="K17" s="64"/>
      <c r="L17" s="75"/>
      <c r="M17" s="27"/>
      <c r="N17" s="27"/>
      <c r="O17" s="27"/>
      <c r="P17" s="28"/>
      <c r="Q17" s="27"/>
      <c r="R17" s="3"/>
      <c r="S17" s="29"/>
      <c r="T17" s="27"/>
      <c r="U17" s="30"/>
      <c r="V17" s="31"/>
      <c r="W17" s="32"/>
      <c r="X17" s="14"/>
      <c r="Y17" s="33"/>
      <c r="Z17" s="31"/>
      <c r="AA17" s="32"/>
      <c r="AB17" s="31"/>
      <c r="AC17" s="32"/>
      <c r="AD17" s="32"/>
    </row>
    <row r="18" spans="1:30" s="12" customFormat="1" x14ac:dyDescent="0.25">
      <c r="A18" s="12">
        <v>4</v>
      </c>
      <c r="B18" s="13"/>
      <c r="C18" s="52"/>
      <c r="D18" s="13"/>
      <c r="E18" s="52"/>
      <c r="F18" s="52"/>
      <c r="G18" s="64"/>
      <c r="H18" s="64"/>
      <c r="I18" s="64"/>
      <c r="J18" s="67"/>
      <c r="K18" s="64"/>
      <c r="L18" s="75"/>
      <c r="M18" s="27"/>
      <c r="N18" s="27"/>
      <c r="O18" s="27"/>
      <c r="P18" s="28"/>
      <c r="Q18" s="27"/>
      <c r="R18" s="3"/>
      <c r="S18" s="29"/>
      <c r="T18" s="27"/>
      <c r="U18" s="30"/>
      <c r="V18" s="31"/>
      <c r="W18" s="32"/>
      <c r="X18" s="14"/>
      <c r="Y18" s="33"/>
      <c r="Z18" s="31"/>
      <c r="AA18" s="32"/>
      <c r="AB18" s="31"/>
      <c r="AC18" s="32"/>
      <c r="AD18" s="32"/>
    </row>
    <row r="19" spans="1:30" s="15" customFormat="1" x14ac:dyDescent="0.25">
      <c r="A19" s="15">
        <v>5</v>
      </c>
      <c r="B19" s="16"/>
      <c r="C19" s="53"/>
      <c r="D19" s="16"/>
      <c r="E19" s="53"/>
      <c r="F19" s="53"/>
      <c r="G19" s="65"/>
      <c r="H19" s="65"/>
      <c r="I19" s="65"/>
      <c r="J19" s="68"/>
      <c r="K19" s="65"/>
      <c r="L19" s="76"/>
      <c r="M19" s="34"/>
      <c r="N19" s="34"/>
      <c r="O19" s="34"/>
      <c r="P19" s="35"/>
      <c r="Q19" s="34"/>
      <c r="R19" s="36"/>
      <c r="S19" s="37"/>
      <c r="T19" s="34"/>
      <c r="U19" s="38"/>
      <c r="V19" s="39"/>
      <c r="W19" s="40"/>
      <c r="X19" s="17"/>
      <c r="Y19" s="41"/>
      <c r="Z19" s="39"/>
      <c r="AA19" s="40"/>
      <c r="AB19" s="39"/>
      <c r="AC19" s="40"/>
      <c r="AD19" s="40"/>
    </row>
    <row r="20" spans="1:30" s="8" customFormat="1" x14ac:dyDescent="0.25">
      <c r="B20" s="9" t="s">
        <v>195</v>
      </c>
      <c r="C20" s="6">
        <f>COUNTIF(C21:C25,"Yes")</f>
        <v>0</v>
      </c>
      <c r="D20" s="9"/>
      <c r="E20" s="6"/>
      <c r="F20" s="6"/>
      <c r="G20" s="63"/>
      <c r="H20" s="63"/>
      <c r="I20" s="63"/>
      <c r="J20" s="5"/>
      <c r="K20" s="63"/>
      <c r="L20" s="74"/>
      <c r="M20" s="19"/>
      <c r="N20" s="19"/>
      <c r="O20" s="19"/>
      <c r="P20" s="20"/>
      <c r="Q20" s="19"/>
      <c r="R20" s="21"/>
      <c r="S20" s="22"/>
      <c r="T20" s="19"/>
      <c r="U20" s="23"/>
      <c r="V20" s="24"/>
      <c r="W20" s="25"/>
      <c r="X20" s="10"/>
      <c r="Y20" s="26"/>
      <c r="Z20" s="24"/>
      <c r="AA20" s="25"/>
      <c r="AB20" s="24"/>
      <c r="AC20" s="25"/>
      <c r="AD20" s="25"/>
    </row>
    <row r="21" spans="1:30" s="12" customFormat="1" x14ac:dyDescent="0.25">
      <c r="A21" s="12">
        <v>1</v>
      </c>
      <c r="B21" s="13"/>
      <c r="C21" s="52"/>
      <c r="D21" s="13"/>
      <c r="E21" s="52"/>
      <c r="F21" s="52"/>
      <c r="G21" s="64"/>
      <c r="H21" s="64"/>
      <c r="I21" s="64"/>
      <c r="J21" s="1"/>
      <c r="K21" s="64"/>
      <c r="L21" s="75"/>
      <c r="M21" s="27"/>
      <c r="N21" s="27"/>
      <c r="O21" s="27"/>
      <c r="P21" s="28"/>
      <c r="Q21" s="27"/>
      <c r="R21" s="3"/>
      <c r="S21" s="29"/>
      <c r="T21" s="27"/>
      <c r="U21" s="30"/>
      <c r="V21" s="31"/>
      <c r="W21" s="32"/>
      <c r="X21" s="14"/>
      <c r="Y21" s="33"/>
      <c r="Z21" s="31"/>
      <c r="AA21" s="32"/>
      <c r="AB21" s="31"/>
      <c r="AC21" s="32"/>
      <c r="AD21" s="32"/>
    </row>
    <row r="22" spans="1:30" s="12" customFormat="1" x14ac:dyDescent="0.25">
      <c r="A22" s="12">
        <v>2</v>
      </c>
      <c r="B22" s="13"/>
      <c r="C22" s="52"/>
      <c r="D22" s="13"/>
      <c r="E22" s="52"/>
      <c r="F22" s="52"/>
      <c r="G22" s="64"/>
      <c r="H22" s="64"/>
      <c r="I22" s="64"/>
      <c r="J22" s="1"/>
      <c r="K22" s="64"/>
      <c r="L22" s="75"/>
      <c r="M22" s="27"/>
      <c r="N22" s="27"/>
      <c r="O22" s="27"/>
      <c r="P22" s="28"/>
      <c r="Q22" s="27"/>
      <c r="R22" s="3"/>
      <c r="S22" s="29"/>
      <c r="T22" s="27"/>
      <c r="U22" s="30"/>
      <c r="V22" s="31"/>
      <c r="W22" s="32"/>
      <c r="X22" s="14"/>
      <c r="Y22" s="33"/>
      <c r="Z22" s="31"/>
      <c r="AA22" s="32"/>
      <c r="AB22" s="31"/>
      <c r="AC22" s="32"/>
      <c r="AD22" s="32"/>
    </row>
    <row r="23" spans="1:30" s="12" customFormat="1" x14ac:dyDescent="0.25">
      <c r="A23" s="12">
        <v>3</v>
      </c>
      <c r="B23" s="13"/>
      <c r="C23" s="52"/>
      <c r="D23" s="13"/>
      <c r="E23" s="52"/>
      <c r="F23" s="52"/>
      <c r="G23" s="64"/>
      <c r="H23" s="64"/>
      <c r="I23" s="64"/>
      <c r="J23" s="1"/>
      <c r="K23" s="64"/>
      <c r="L23" s="75"/>
      <c r="M23" s="27"/>
      <c r="N23" s="27"/>
      <c r="O23" s="27"/>
      <c r="P23" s="28"/>
      <c r="Q23" s="27"/>
      <c r="R23" s="3"/>
      <c r="S23" s="29"/>
      <c r="T23" s="27"/>
      <c r="U23" s="30"/>
      <c r="V23" s="31"/>
      <c r="W23" s="32"/>
      <c r="X23" s="14"/>
      <c r="Y23" s="33"/>
      <c r="Z23" s="31"/>
      <c r="AA23" s="32"/>
      <c r="AB23" s="31"/>
      <c r="AC23" s="32"/>
      <c r="AD23" s="32"/>
    </row>
    <row r="24" spans="1:30" s="12" customFormat="1" x14ac:dyDescent="0.25">
      <c r="A24" s="12">
        <v>4</v>
      </c>
      <c r="B24" s="13"/>
      <c r="C24" s="52"/>
      <c r="D24" s="13"/>
      <c r="E24" s="52"/>
      <c r="F24" s="52"/>
      <c r="G24" s="64"/>
      <c r="H24" s="64"/>
      <c r="I24" s="64"/>
      <c r="J24" s="1"/>
      <c r="K24" s="64"/>
      <c r="L24" s="75"/>
      <c r="M24" s="27"/>
      <c r="N24" s="27"/>
      <c r="O24" s="27"/>
      <c r="P24" s="28"/>
      <c r="Q24" s="27"/>
      <c r="R24" s="3"/>
      <c r="S24" s="29"/>
      <c r="T24" s="27"/>
      <c r="U24" s="30"/>
      <c r="V24" s="31"/>
      <c r="W24" s="32"/>
      <c r="X24" s="14"/>
      <c r="Y24" s="33"/>
      <c r="Z24" s="31"/>
      <c r="AA24" s="32"/>
      <c r="AB24" s="31"/>
      <c r="AC24" s="32"/>
      <c r="AD24" s="32"/>
    </row>
    <row r="25" spans="1:30" s="15" customFormat="1" x14ac:dyDescent="0.25">
      <c r="A25" s="15">
        <v>5</v>
      </c>
      <c r="B25" s="16"/>
      <c r="C25" s="53"/>
      <c r="D25" s="16"/>
      <c r="E25" s="53"/>
      <c r="F25" s="53"/>
      <c r="G25" s="65"/>
      <c r="H25" s="65"/>
      <c r="I25" s="65"/>
      <c r="J25" s="51"/>
      <c r="K25" s="65"/>
      <c r="L25" s="76"/>
      <c r="M25" s="34"/>
      <c r="N25" s="34"/>
      <c r="O25" s="34"/>
      <c r="P25" s="35"/>
      <c r="Q25" s="34"/>
      <c r="R25" s="36"/>
      <c r="S25" s="37"/>
      <c r="T25" s="34"/>
      <c r="U25" s="38"/>
      <c r="V25" s="39"/>
      <c r="W25" s="40"/>
      <c r="X25" s="17"/>
      <c r="Y25" s="41"/>
      <c r="Z25" s="39"/>
      <c r="AA25" s="40"/>
      <c r="AB25" s="39"/>
      <c r="AC25" s="40"/>
      <c r="AD25" s="40"/>
    </row>
    <row r="26" spans="1:30" s="8" customFormat="1" x14ac:dyDescent="0.25">
      <c r="B26" s="9" t="s">
        <v>197</v>
      </c>
      <c r="C26" s="6">
        <f>COUNTIF(C27:C31,"Yes")</f>
        <v>0</v>
      </c>
      <c r="D26" s="9"/>
      <c r="E26" s="6"/>
      <c r="F26" s="6"/>
      <c r="G26" s="5"/>
      <c r="H26" s="63"/>
      <c r="I26" s="63"/>
      <c r="J26" s="66"/>
      <c r="K26" s="63"/>
      <c r="L26" s="74"/>
      <c r="M26" s="19"/>
      <c r="N26" s="19"/>
      <c r="O26" s="19"/>
      <c r="P26" s="20"/>
      <c r="Q26" s="19"/>
      <c r="R26" s="21"/>
      <c r="S26" s="22"/>
      <c r="T26" s="19"/>
      <c r="U26" s="23"/>
      <c r="V26" s="24"/>
      <c r="W26" s="25"/>
      <c r="X26" s="10"/>
      <c r="Y26" s="26"/>
      <c r="Z26" s="24"/>
      <c r="AA26" s="25"/>
      <c r="AB26" s="24"/>
      <c r="AC26" s="25"/>
      <c r="AD26" s="25"/>
    </row>
    <row r="27" spans="1:30" s="12" customFormat="1" x14ac:dyDescent="0.25">
      <c r="A27" s="12">
        <v>1</v>
      </c>
      <c r="B27" s="13"/>
      <c r="C27" s="52"/>
      <c r="D27" s="13"/>
      <c r="E27" s="52"/>
      <c r="F27" s="52"/>
      <c r="G27" s="1"/>
      <c r="H27" s="64"/>
      <c r="I27" s="64"/>
      <c r="J27" s="67"/>
      <c r="K27" s="64"/>
      <c r="L27" s="75"/>
      <c r="M27" s="27"/>
      <c r="N27" s="27"/>
      <c r="O27" s="27"/>
      <c r="P27" s="28"/>
      <c r="Q27" s="27"/>
      <c r="R27" s="3"/>
      <c r="S27" s="29"/>
      <c r="T27" s="27"/>
      <c r="U27" s="30"/>
      <c r="V27" s="31"/>
      <c r="W27" s="32"/>
      <c r="X27" s="14"/>
      <c r="Y27" s="33"/>
      <c r="Z27" s="31"/>
      <c r="AA27" s="32"/>
      <c r="AB27" s="31"/>
      <c r="AC27" s="32"/>
      <c r="AD27" s="32"/>
    </row>
    <row r="28" spans="1:30" s="12" customFormat="1" x14ac:dyDescent="0.25">
      <c r="A28" s="12">
        <v>2</v>
      </c>
      <c r="B28" s="13"/>
      <c r="C28" s="52"/>
      <c r="D28" s="13"/>
      <c r="E28" s="52"/>
      <c r="F28" s="52"/>
      <c r="G28" s="1"/>
      <c r="H28" s="64"/>
      <c r="I28" s="64"/>
      <c r="J28" s="67"/>
      <c r="K28" s="64"/>
      <c r="L28" s="75"/>
      <c r="M28" s="27"/>
      <c r="N28" s="27"/>
      <c r="O28" s="27"/>
      <c r="P28" s="28"/>
      <c r="Q28" s="27"/>
      <c r="R28" s="3"/>
      <c r="S28" s="29"/>
      <c r="T28" s="27"/>
      <c r="U28" s="30"/>
      <c r="V28" s="31"/>
      <c r="W28" s="32"/>
      <c r="X28" s="14"/>
      <c r="Y28" s="33"/>
      <c r="Z28" s="31"/>
      <c r="AA28" s="32"/>
      <c r="AB28" s="31"/>
      <c r="AC28" s="32"/>
      <c r="AD28" s="32"/>
    </row>
    <row r="29" spans="1:30" s="12" customFormat="1" x14ac:dyDescent="0.25">
      <c r="A29" s="12">
        <v>3</v>
      </c>
      <c r="B29" s="13"/>
      <c r="C29" s="52"/>
      <c r="D29" s="13"/>
      <c r="E29" s="52"/>
      <c r="F29" s="52"/>
      <c r="G29" s="1"/>
      <c r="H29" s="64"/>
      <c r="I29" s="64"/>
      <c r="J29" s="67"/>
      <c r="K29" s="64"/>
      <c r="L29" s="75"/>
      <c r="M29" s="27"/>
      <c r="N29" s="27"/>
      <c r="O29" s="27"/>
      <c r="P29" s="28"/>
      <c r="Q29" s="27"/>
      <c r="R29" s="3"/>
      <c r="S29" s="29"/>
      <c r="T29" s="27"/>
      <c r="U29" s="30"/>
      <c r="V29" s="31"/>
      <c r="W29" s="32"/>
      <c r="X29" s="14"/>
      <c r="Y29" s="33"/>
      <c r="Z29" s="31"/>
      <c r="AA29" s="32"/>
      <c r="AB29" s="31"/>
      <c r="AC29" s="32"/>
      <c r="AD29" s="32"/>
    </row>
    <row r="30" spans="1:30" s="12" customFormat="1" x14ac:dyDescent="0.25">
      <c r="A30" s="12">
        <v>4</v>
      </c>
      <c r="B30" s="13"/>
      <c r="C30" s="52"/>
      <c r="D30" s="13"/>
      <c r="E30" s="52"/>
      <c r="F30" s="52"/>
      <c r="G30" s="1"/>
      <c r="H30" s="64"/>
      <c r="I30" s="64"/>
      <c r="J30" s="67"/>
      <c r="K30" s="64"/>
      <c r="L30" s="75"/>
      <c r="M30" s="27"/>
      <c r="N30" s="27"/>
      <c r="O30" s="27"/>
      <c r="P30" s="28"/>
      <c r="Q30" s="27"/>
      <c r="R30" s="3"/>
      <c r="S30" s="29"/>
      <c r="T30" s="27"/>
      <c r="U30" s="30"/>
      <c r="V30" s="31"/>
      <c r="W30" s="32"/>
      <c r="X30" s="14"/>
      <c r="Y30" s="33"/>
      <c r="Z30" s="31"/>
      <c r="AA30" s="32"/>
      <c r="AB30" s="31"/>
      <c r="AC30" s="32"/>
      <c r="AD30" s="32"/>
    </row>
    <row r="31" spans="1:30" s="15" customFormat="1" x14ac:dyDescent="0.25">
      <c r="A31" s="15">
        <v>5</v>
      </c>
      <c r="B31" s="16"/>
      <c r="C31" s="53"/>
      <c r="D31" s="16"/>
      <c r="E31" s="53"/>
      <c r="F31" s="53"/>
      <c r="G31" s="51"/>
      <c r="H31" s="65"/>
      <c r="I31" s="65"/>
      <c r="J31" s="68"/>
      <c r="K31" s="65"/>
      <c r="L31" s="76"/>
      <c r="M31" s="34"/>
      <c r="N31" s="34"/>
      <c r="O31" s="34"/>
      <c r="P31" s="35"/>
      <c r="Q31" s="34"/>
      <c r="R31" s="36"/>
      <c r="S31" s="37"/>
      <c r="T31" s="34"/>
      <c r="U31" s="38"/>
      <c r="V31" s="39"/>
      <c r="W31" s="40"/>
      <c r="X31" s="17"/>
      <c r="Y31" s="41"/>
      <c r="Z31" s="39"/>
      <c r="AA31" s="40"/>
      <c r="AB31" s="39"/>
      <c r="AC31" s="40"/>
      <c r="AD31" s="40"/>
    </row>
    <row r="32" spans="1:30" s="8" customFormat="1" x14ac:dyDescent="0.25">
      <c r="B32" s="9" t="s">
        <v>199</v>
      </c>
      <c r="C32" s="6">
        <f>COUNTIF(C33:C37,"Yes")</f>
        <v>0</v>
      </c>
      <c r="D32" s="9"/>
      <c r="E32" s="6"/>
      <c r="F32" s="6"/>
      <c r="G32" s="5"/>
      <c r="H32" s="63"/>
      <c r="I32" s="63"/>
      <c r="J32" s="66"/>
      <c r="K32" s="63"/>
      <c r="L32" s="74"/>
      <c r="M32" s="19"/>
      <c r="N32" s="19"/>
      <c r="O32" s="19"/>
      <c r="P32" s="20"/>
      <c r="Q32" s="19"/>
      <c r="R32" s="21"/>
      <c r="S32" s="22"/>
      <c r="T32" s="19"/>
      <c r="U32" s="23"/>
      <c r="V32" s="24"/>
      <c r="W32" s="25"/>
      <c r="X32" s="10"/>
      <c r="Y32" s="26"/>
      <c r="Z32" s="24"/>
      <c r="AA32" s="25"/>
      <c r="AB32" s="24"/>
      <c r="AC32" s="25"/>
      <c r="AD32" s="25"/>
    </row>
    <row r="33" spans="1:30" s="12" customFormat="1" x14ac:dyDescent="0.25">
      <c r="A33" s="12">
        <v>1</v>
      </c>
      <c r="B33" s="13"/>
      <c r="C33" s="52"/>
      <c r="D33" s="13"/>
      <c r="E33" s="52"/>
      <c r="F33" s="52"/>
      <c r="G33" s="1"/>
      <c r="H33" s="64"/>
      <c r="I33" s="64"/>
      <c r="J33" s="67"/>
      <c r="K33" s="64"/>
      <c r="L33" s="75"/>
      <c r="M33" s="27"/>
      <c r="N33" s="27"/>
      <c r="O33" s="27"/>
      <c r="P33" s="28"/>
      <c r="Q33" s="27"/>
      <c r="R33" s="3"/>
      <c r="S33" s="29"/>
      <c r="T33" s="27"/>
      <c r="U33" s="30"/>
      <c r="V33" s="31"/>
      <c r="W33" s="32"/>
      <c r="X33" s="14"/>
      <c r="Y33" s="33"/>
      <c r="Z33" s="31"/>
      <c r="AA33" s="32"/>
      <c r="AB33" s="31"/>
      <c r="AC33" s="32"/>
      <c r="AD33" s="32"/>
    </row>
    <row r="34" spans="1:30" s="12" customFormat="1" x14ac:dyDescent="0.25">
      <c r="A34" s="12">
        <v>2</v>
      </c>
      <c r="B34" s="13"/>
      <c r="C34" s="52"/>
      <c r="D34" s="13"/>
      <c r="E34" s="52"/>
      <c r="F34" s="52"/>
      <c r="G34" s="1"/>
      <c r="H34" s="64"/>
      <c r="I34" s="64"/>
      <c r="J34" s="67"/>
      <c r="K34" s="64"/>
      <c r="L34" s="75"/>
      <c r="M34" s="27"/>
      <c r="N34" s="27"/>
      <c r="O34" s="27"/>
      <c r="P34" s="28"/>
      <c r="Q34" s="27"/>
      <c r="R34" s="3"/>
      <c r="S34" s="29"/>
      <c r="T34" s="27"/>
      <c r="U34" s="30"/>
      <c r="V34" s="31"/>
      <c r="W34" s="32"/>
      <c r="X34" s="14"/>
      <c r="Y34" s="33"/>
      <c r="Z34" s="31"/>
      <c r="AA34" s="32"/>
      <c r="AB34" s="31"/>
      <c r="AC34" s="32"/>
      <c r="AD34" s="32"/>
    </row>
    <row r="35" spans="1:30" s="12" customFormat="1" x14ac:dyDescent="0.25">
      <c r="A35" s="12">
        <v>3</v>
      </c>
      <c r="B35" s="13"/>
      <c r="C35" s="52"/>
      <c r="D35" s="13"/>
      <c r="E35" s="52"/>
      <c r="F35" s="52"/>
      <c r="G35" s="1"/>
      <c r="H35" s="64"/>
      <c r="I35" s="64"/>
      <c r="J35" s="67"/>
      <c r="K35" s="64"/>
      <c r="L35" s="75"/>
      <c r="M35" s="27"/>
      <c r="N35" s="27"/>
      <c r="O35" s="27"/>
      <c r="P35" s="28"/>
      <c r="Q35" s="27"/>
      <c r="R35" s="3"/>
      <c r="S35" s="29"/>
      <c r="T35" s="27"/>
      <c r="U35" s="30"/>
      <c r="V35" s="31"/>
      <c r="W35" s="32"/>
      <c r="X35" s="14"/>
      <c r="Y35" s="33"/>
      <c r="Z35" s="31"/>
      <c r="AA35" s="32"/>
      <c r="AB35" s="31"/>
      <c r="AC35" s="32"/>
      <c r="AD35" s="32"/>
    </row>
    <row r="36" spans="1:30" s="12" customFormat="1" x14ac:dyDescent="0.25">
      <c r="A36" s="12">
        <v>4</v>
      </c>
      <c r="B36" s="13"/>
      <c r="C36" s="52"/>
      <c r="D36" s="13"/>
      <c r="E36" s="52"/>
      <c r="F36" s="52"/>
      <c r="G36" s="1"/>
      <c r="H36" s="64"/>
      <c r="I36" s="64"/>
      <c r="J36" s="67"/>
      <c r="K36" s="64"/>
      <c r="L36" s="75"/>
      <c r="M36" s="27"/>
      <c r="N36" s="27"/>
      <c r="O36" s="27"/>
      <c r="P36" s="28"/>
      <c r="Q36" s="27"/>
      <c r="R36" s="3"/>
      <c r="S36" s="29"/>
      <c r="T36" s="27"/>
      <c r="U36" s="30"/>
      <c r="V36" s="31"/>
      <c r="W36" s="32"/>
      <c r="X36" s="14"/>
      <c r="Y36" s="33"/>
      <c r="Z36" s="31"/>
      <c r="AA36" s="32"/>
      <c r="AB36" s="31"/>
      <c r="AC36" s="32"/>
      <c r="AD36" s="32"/>
    </row>
    <row r="37" spans="1:30" s="15" customFormat="1" x14ac:dyDescent="0.25">
      <c r="A37" s="15">
        <v>5</v>
      </c>
      <c r="B37" s="16"/>
      <c r="C37" s="53"/>
      <c r="D37" s="16"/>
      <c r="E37" s="53"/>
      <c r="F37" s="53"/>
      <c r="G37" s="51"/>
      <c r="H37" s="65"/>
      <c r="I37" s="65"/>
      <c r="J37" s="68"/>
      <c r="K37" s="65"/>
      <c r="L37" s="76"/>
      <c r="M37" s="34"/>
      <c r="N37" s="34"/>
      <c r="O37" s="34"/>
      <c r="P37" s="35"/>
      <c r="Q37" s="34"/>
      <c r="R37" s="36"/>
      <c r="S37" s="37"/>
      <c r="T37" s="34"/>
      <c r="U37" s="38"/>
      <c r="V37" s="39"/>
      <c r="W37" s="40"/>
      <c r="X37" s="17"/>
      <c r="Y37" s="41"/>
      <c r="Z37" s="39"/>
      <c r="AA37" s="40"/>
      <c r="AB37" s="39"/>
      <c r="AC37" s="40"/>
      <c r="AD37" s="40"/>
    </row>
    <row r="38" spans="1:30" s="8" customFormat="1" x14ac:dyDescent="0.25">
      <c r="B38" s="9" t="s">
        <v>201</v>
      </c>
      <c r="C38" s="6">
        <f>COUNTIF(C39:C43,"Yes")</f>
        <v>0</v>
      </c>
      <c r="D38" s="9"/>
      <c r="E38" s="6"/>
      <c r="F38" s="6"/>
      <c r="G38" s="5"/>
      <c r="H38" s="63"/>
      <c r="I38" s="63"/>
      <c r="J38" s="66"/>
      <c r="K38" s="63"/>
      <c r="L38" s="74"/>
      <c r="M38" s="19"/>
      <c r="N38" s="19"/>
      <c r="O38" s="19"/>
      <c r="P38" s="20"/>
      <c r="Q38" s="19"/>
      <c r="R38" s="21"/>
      <c r="S38" s="22"/>
      <c r="T38" s="19"/>
      <c r="U38" s="23"/>
      <c r="V38" s="24"/>
      <c r="W38" s="25"/>
      <c r="X38" s="10"/>
      <c r="Y38" s="26"/>
      <c r="Z38" s="24"/>
      <c r="AA38" s="25"/>
      <c r="AB38" s="24"/>
      <c r="AC38" s="25"/>
      <c r="AD38" s="25"/>
    </row>
    <row r="39" spans="1:30" s="12" customFormat="1" x14ac:dyDescent="0.25">
      <c r="A39" s="12">
        <v>1</v>
      </c>
      <c r="B39" s="13"/>
      <c r="C39" s="52"/>
      <c r="D39" s="13"/>
      <c r="E39" s="52"/>
      <c r="F39" s="52"/>
      <c r="G39" s="1"/>
      <c r="H39" s="64"/>
      <c r="I39" s="64"/>
      <c r="J39" s="67"/>
      <c r="K39" s="64"/>
      <c r="L39" s="75"/>
      <c r="M39" s="27"/>
      <c r="N39" s="27"/>
      <c r="O39" s="27"/>
      <c r="P39" s="28"/>
      <c r="Q39" s="27"/>
      <c r="R39" s="3"/>
      <c r="S39" s="29"/>
      <c r="T39" s="27"/>
      <c r="U39" s="30"/>
      <c r="V39" s="31"/>
      <c r="W39" s="32"/>
      <c r="X39" s="14"/>
      <c r="Y39" s="33"/>
      <c r="Z39" s="31"/>
      <c r="AA39" s="32"/>
      <c r="AB39" s="31"/>
      <c r="AC39" s="32"/>
      <c r="AD39" s="32"/>
    </row>
    <row r="40" spans="1:30" s="12" customFormat="1" x14ac:dyDescent="0.25">
      <c r="A40" s="12">
        <v>2</v>
      </c>
      <c r="B40" s="13"/>
      <c r="C40" s="52"/>
      <c r="D40" s="13"/>
      <c r="E40" s="52"/>
      <c r="F40" s="52"/>
      <c r="G40" s="1"/>
      <c r="H40" s="64"/>
      <c r="I40" s="64"/>
      <c r="J40" s="67"/>
      <c r="K40" s="64"/>
      <c r="L40" s="75"/>
      <c r="M40" s="27"/>
      <c r="N40" s="27"/>
      <c r="O40" s="27"/>
      <c r="P40" s="28"/>
      <c r="Q40" s="27"/>
      <c r="R40" s="3"/>
      <c r="S40" s="29"/>
      <c r="T40" s="27"/>
      <c r="U40" s="30"/>
      <c r="V40" s="31"/>
      <c r="W40" s="32"/>
      <c r="X40" s="14"/>
      <c r="Y40" s="33"/>
      <c r="Z40" s="31"/>
      <c r="AA40" s="32"/>
      <c r="AB40" s="31"/>
      <c r="AC40" s="32"/>
      <c r="AD40" s="32"/>
    </row>
    <row r="41" spans="1:30" s="12" customFormat="1" x14ac:dyDescent="0.25">
      <c r="A41" s="12">
        <v>3</v>
      </c>
      <c r="B41" s="13"/>
      <c r="C41" s="52"/>
      <c r="D41" s="13"/>
      <c r="E41" s="52"/>
      <c r="F41" s="52"/>
      <c r="G41" s="1"/>
      <c r="H41" s="64"/>
      <c r="I41" s="64"/>
      <c r="J41" s="67"/>
      <c r="K41" s="64"/>
      <c r="L41" s="75"/>
      <c r="M41" s="27"/>
      <c r="N41" s="27"/>
      <c r="O41" s="27"/>
      <c r="P41" s="28"/>
      <c r="Q41" s="27"/>
      <c r="R41" s="3"/>
      <c r="S41" s="29"/>
      <c r="T41" s="27"/>
      <c r="U41" s="30"/>
      <c r="V41" s="31"/>
      <c r="W41" s="32"/>
      <c r="X41" s="14"/>
      <c r="Y41" s="33"/>
      <c r="Z41" s="31"/>
      <c r="AA41" s="32"/>
      <c r="AB41" s="31"/>
      <c r="AC41" s="32"/>
      <c r="AD41" s="32"/>
    </row>
    <row r="42" spans="1:30" s="12" customFormat="1" x14ac:dyDescent="0.25">
      <c r="A42" s="12">
        <v>4</v>
      </c>
      <c r="B42" s="13"/>
      <c r="C42" s="52"/>
      <c r="D42" s="13"/>
      <c r="E42" s="52"/>
      <c r="F42" s="52"/>
      <c r="G42" s="1"/>
      <c r="H42" s="64"/>
      <c r="I42" s="64"/>
      <c r="J42" s="67"/>
      <c r="K42" s="64"/>
      <c r="L42" s="75"/>
      <c r="M42" s="27"/>
      <c r="N42" s="27"/>
      <c r="O42" s="27"/>
      <c r="P42" s="28"/>
      <c r="Q42" s="27"/>
      <c r="R42" s="3"/>
      <c r="S42" s="29"/>
      <c r="T42" s="27"/>
      <c r="U42" s="30"/>
      <c r="V42" s="31"/>
      <c r="W42" s="32"/>
      <c r="X42" s="14"/>
      <c r="Y42" s="33"/>
      <c r="Z42" s="31"/>
      <c r="AA42" s="32"/>
      <c r="AB42" s="31"/>
      <c r="AC42" s="32"/>
      <c r="AD42" s="32"/>
    </row>
    <row r="43" spans="1:30" s="15" customFormat="1" x14ac:dyDescent="0.25">
      <c r="A43" s="15">
        <v>5</v>
      </c>
      <c r="B43" s="16"/>
      <c r="C43" s="53"/>
      <c r="D43" s="16"/>
      <c r="E43" s="53"/>
      <c r="F43" s="53"/>
      <c r="G43" s="51"/>
      <c r="H43" s="65"/>
      <c r="I43" s="65"/>
      <c r="J43" s="68"/>
      <c r="K43" s="65"/>
      <c r="L43" s="76"/>
      <c r="M43" s="34"/>
      <c r="N43" s="34"/>
      <c r="O43" s="34"/>
      <c r="P43" s="35"/>
      <c r="Q43" s="34"/>
      <c r="R43" s="36"/>
      <c r="S43" s="37"/>
      <c r="T43" s="34"/>
      <c r="U43" s="38"/>
      <c r="V43" s="39"/>
      <c r="W43" s="40"/>
      <c r="X43" s="17"/>
      <c r="Y43" s="41"/>
      <c r="Z43" s="39"/>
      <c r="AA43" s="40"/>
      <c r="AB43" s="39"/>
      <c r="AC43" s="40"/>
      <c r="AD43" s="40"/>
    </row>
    <row r="44" spans="1:30" s="8" customFormat="1" x14ac:dyDescent="0.25">
      <c r="B44" s="9" t="s">
        <v>202</v>
      </c>
      <c r="C44" s="6">
        <f>COUNTIF(C45:C49,"Yes")</f>
        <v>0</v>
      </c>
      <c r="D44" s="9"/>
      <c r="E44" s="6"/>
      <c r="F44" s="6"/>
      <c r="G44" s="63"/>
      <c r="H44" s="63"/>
      <c r="I44" s="63"/>
      <c r="J44" s="66"/>
      <c r="K44" s="63"/>
      <c r="L44" s="74"/>
      <c r="M44" s="19"/>
      <c r="N44" s="19"/>
      <c r="O44" s="19"/>
      <c r="P44" s="20"/>
      <c r="Q44" s="19"/>
      <c r="R44" s="21"/>
      <c r="S44" s="22"/>
      <c r="T44" s="19"/>
      <c r="U44" s="23"/>
      <c r="V44" s="24"/>
      <c r="W44" s="25"/>
      <c r="X44" s="10"/>
      <c r="Y44" s="26"/>
      <c r="Z44" s="24"/>
      <c r="AA44" s="25"/>
      <c r="AB44" s="24"/>
      <c r="AC44" s="25"/>
      <c r="AD44" s="25"/>
    </row>
    <row r="45" spans="1:30" s="12" customFormat="1" x14ac:dyDescent="0.25">
      <c r="A45" s="12">
        <v>1</v>
      </c>
      <c r="B45" s="13"/>
      <c r="C45" s="52"/>
      <c r="D45" s="13"/>
      <c r="E45" s="52"/>
      <c r="F45" s="52"/>
      <c r="G45" s="64"/>
      <c r="H45" s="64"/>
      <c r="I45" s="64"/>
      <c r="J45" s="67"/>
      <c r="K45" s="64"/>
      <c r="L45" s="75"/>
      <c r="M45" s="27"/>
      <c r="N45" s="27"/>
      <c r="O45" s="27"/>
      <c r="P45" s="28"/>
      <c r="Q45" s="27"/>
      <c r="R45" s="3"/>
      <c r="S45" s="29"/>
      <c r="T45" s="27"/>
      <c r="U45" s="30"/>
      <c r="V45" s="31"/>
      <c r="W45" s="32"/>
      <c r="X45" s="14"/>
      <c r="Y45" s="33"/>
      <c r="Z45" s="31"/>
      <c r="AA45" s="32"/>
      <c r="AB45" s="31"/>
      <c r="AC45" s="32"/>
      <c r="AD45" s="32"/>
    </row>
    <row r="46" spans="1:30" s="12" customFormat="1" x14ac:dyDescent="0.25">
      <c r="A46" s="12">
        <v>2</v>
      </c>
      <c r="B46" s="13"/>
      <c r="C46" s="52"/>
      <c r="D46" s="13"/>
      <c r="E46" s="52"/>
      <c r="F46" s="52"/>
      <c r="G46" s="64"/>
      <c r="H46" s="64"/>
      <c r="I46" s="64"/>
      <c r="J46" s="67"/>
      <c r="K46" s="64"/>
      <c r="L46" s="75"/>
      <c r="M46" s="27"/>
      <c r="N46" s="27"/>
      <c r="O46" s="27"/>
      <c r="P46" s="28"/>
      <c r="Q46" s="27"/>
      <c r="R46" s="3"/>
      <c r="S46" s="29"/>
      <c r="T46" s="27"/>
      <c r="U46" s="30"/>
      <c r="V46" s="31"/>
      <c r="W46" s="32"/>
      <c r="X46" s="14"/>
      <c r="Y46" s="33"/>
      <c r="Z46" s="31"/>
      <c r="AA46" s="32"/>
      <c r="AB46" s="31"/>
      <c r="AC46" s="32"/>
      <c r="AD46" s="32"/>
    </row>
    <row r="47" spans="1:30" s="12" customFormat="1" x14ac:dyDescent="0.25">
      <c r="A47" s="12">
        <v>3</v>
      </c>
      <c r="B47" s="13"/>
      <c r="C47" s="52"/>
      <c r="D47" s="13"/>
      <c r="E47" s="52"/>
      <c r="F47" s="52"/>
      <c r="G47" s="64"/>
      <c r="H47" s="64"/>
      <c r="I47" s="64"/>
      <c r="J47" s="67"/>
      <c r="K47" s="64"/>
      <c r="L47" s="75"/>
      <c r="M47" s="27"/>
      <c r="N47" s="27"/>
      <c r="O47" s="27"/>
      <c r="P47" s="28"/>
      <c r="Q47" s="27"/>
      <c r="R47" s="3"/>
      <c r="S47" s="29"/>
      <c r="T47" s="27"/>
      <c r="U47" s="30"/>
      <c r="V47" s="31"/>
      <c r="W47" s="32"/>
      <c r="X47" s="14"/>
      <c r="Y47" s="33"/>
      <c r="Z47" s="31"/>
      <c r="AA47" s="32"/>
      <c r="AB47" s="31"/>
      <c r="AC47" s="32"/>
      <c r="AD47" s="32"/>
    </row>
    <row r="48" spans="1:30" s="12" customFormat="1" x14ac:dyDescent="0.25">
      <c r="A48" s="12">
        <v>4</v>
      </c>
      <c r="B48" s="13"/>
      <c r="C48" s="52"/>
      <c r="D48" s="13"/>
      <c r="E48" s="52"/>
      <c r="F48" s="52"/>
      <c r="G48" s="64"/>
      <c r="H48" s="64"/>
      <c r="I48" s="64"/>
      <c r="J48" s="67"/>
      <c r="K48" s="64"/>
      <c r="L48" s="75"/>
      <c r="M48" s="27"/>
      <c r="N48" s="27"/>
      <c r="O48" s="27"/>
      <c r="P48" s="28"/>
      <c r="Q48" s="27"/>
      <c r="R48" s="3"/>
      <c r="S48" s="29"/>
      <c r="T48" s="27"/>
      <c r="U48" s="30"/>
      <c r="V48" s="31"/>
      <c r="W48" s="32"/>
      <c r="X48" s="14"/>
      <c r="Y48" s="33"/>
      <c r="Z48" s="31"/>
      <c r="AA48" s="32"/>
      <c r="AB48" s="31"/>
      <c r="AC48" s="32"/>
      <c r="AD48" s="32"/>
    </row>
    <row r="49" spans="1:30" s="15" customFormat="1" x14ac:dyDescent="0.25">
      <c r="A49" s="15">
        <v>5</v>
      </c>
      <c r="B49" s="16"/>
      <c r="C49" s="53"/>
      <c r="D49" s="16"/>
      <c r="E49" s="53"/>
      <c r="F49" s="53"/>
      <c r="G49" s="65"/>
      <c r="H49" s="65"/>
      <c r="I49" s="65"/>
      <c r="J49" s="68"/>
      <c r="K49" s="65"/>
      <c r="L49" s="76"/>
      <c r="M49" s="34"/>
      <c r="N49" s="34"/>
      <c r="O49" s="34"/>
      <c r="P49" s="35"/>
      <c r="Q49" s="34"/>
      <c r="R49" s="36"/>
      <c r="S49" s="37"/>
      <c r="T49" s="34"/>
      <c r="U49" s="38"/>
      <c r="V49" s="39"/>
      <c r="W49" s="40"/>
      <c r="X49" s="17"/>
      <c r="Y49" s="41"/>
      <c r="Z49" s="39"/>
      <c r="AA49" s="40"/>
      <c r="AB49" s="39"/>
      <c r="AC49" s="40"/>
      <c r="AD49" s="40"/>
    </row>
    <row r="50" spans="1:30" s="8" customFormat="1" x14ac:dyDescent="0.25">
      <c r="B50" s="9" t="s">
        <v>205</v>
      </c>
      <c r="C50" s="6">
        <f>COUNTIF(C51:C55,"Yes")</f>
        <v>0</v>
      </c>
      <c r="D50" s="9"/>
      <c r="E50" s="6"/>
      <c r="F50" s="6"/>
      <c r="G50" s="5"/>
      <c r="H50" s="63"/>
      <c r="I50" s="63"/>
      <c r="J50" s="66"/>
      <c r="K50" s="63"/>
      <c r="L50" s="74"/>
      <c r="M50" s="19"/>
      <c r="N50" s="19"/>
      <c r="O50" s="19"/>
      <c r="P50" s="20"/>
      <c r="Q50" s="19"/>
      <c r="R50" s="21"/>
      <c r="S50" s="22"/>
      <c r="T50" s="19"/>
      <c r="U50" s="23"/>
      <c r="V50" s="24"/>
      <c r="W50" s="25"/>
      <c r="X50" s="10"/>
      <c r="Y50" s="26"/>
      <c r="Z50" s="24"/>
      <c r="AA50" s="25"/>
      <c r="AB50" s="24"/>
      <c r="AC50" s="25"/>
      <c r="AD50" s="25"/>
    </row>
    <row r="51" spans="1:30" s="12" customFormat="1" x14ac:dyDescent="0.25">
      <c r="A51" s="12">
        <v>1</v>
      </c>
      <c r="B51" s="13"/>
      <c r="C51" s="52"/>
      <c r="D51" s="13"/>
      <c r="E51" s="52"/>
      <c r="F51" s="52"/>
      <c r="G51" s="1"/>
      <c r="H51" s="64"/>
      <c r="I51" s="64"/>
      <c r="J51" s="67"/>
      <c r="K51" s="64"/>
      <c r="L51" s="75"/>
      <c r="M51" s="27"/>
      <c r="N51" s="27"/>
      <c r="O51" s="27"/>
      <c r="P51" s="28"/>
      <c r="Q51" s="27"/>
      <c r="R51" s="3"/>
      <c r="S51" s="29"/>
      <c r="T51" s="27"/>
      <c r="U51" s="30"/>
      <c r="V51" s="31"/>
      <c r="W51" s="32"/>
      <c r="X51" s="14"/>
      <c r="Y51" s="33"/>
      <c r="Z51" s="31"/>
      <c r="AA51" s="32"/>
      <c r="AB51" s="31"/>
      <c r="AC51" s="32"/>
      <c r="AD51" s="32"/>
    </row>
    <row r="52" spans="1:30" s="12" customFormat="1" x14ac:dyDescent="0.25">
      <c r="A52" s="12">
        <v>2</v>
      </c>
      <c r="B52" s="13"/>
      <c r="C52" s="52"/>
      <c r="D52" s="13"/>
      <c r="E52" s="52"/>
      <c r="F52" s="52"/>
      <c r="G52" s="1"/>
      <c r="H52" s="64"/>
      <c r="I52" s="64"/>
      <c r="J52" s="67"/>
      <c r="K52" s="64"/>
      <c r="L52" s="75"/>
      <c r="M52" s="27"/>
      <c r="N52" s="27"/>
      <c r="O52" s="27"/>
      <c r="P52" s="28"/>
      <c r="Q52" s="27"/>
      <c r="R52" s="3"/>
      <c r="S52" s="29"/>
      <c r="T52" s="27"/>
      <c r="U52" s="30"/>
      <c r="V52" s="31"/>
      <c r="W52" s="32"/>
      <c r="X52" s="14"/>
      <c r="Y52" s="33"/>
      <c r="Z52" s="31"/>
      <c r="AA52" s="32"/>
      <c r="AB52" s="31"/>
      <c r="AC52" s="32"/>
      <c r="AD52" s="32"/>
    </row>
    <row r="53" spans="1:30" s="12" customFormat="1" x14ac:dyDescent="0.25">
      <c r="A53" s="12">
        <v>3</v>
      </c>
      <c r="B53" s="13"/>
      <c r="C53" s="52"/>
      <c r="D53" s="13"/>
      <c r="E53" s="52"/>
      <c r="F53" s="52"/>
      <c r="G53" s="1"/>
      <c r="H53" s="64"/>
      <c r="I53" s="64"/>
      <c r="J53" s="67"/>
      <c r="K53" s="64"/>
      <c r="L53" s="75"/>
      <c r="M53" s="27"/>
      <c r="N53" s="27"/>
      <c r="O53" s="27"/>
      <c r="P53" s="28"/>
      <c r="Q53" s="27"/>
      <c r="R53" s="3"/>
      <c r="S53" s="29"/>
      <c r="T53" s="27"/>
      <c r="U53" s="30"/>
      <c r="V53" s="31"/>
      <c r="W53" s="32"/>
      <c r="X53" s="14"/>
      <c r="Y53" s="33"/>
      <c r="Z53" s="31"/>
      <c r="AA53" s="32"/>
      <c r="AB53" s="31"/>
      <c r="AC53" s="32"/>
      <c r="AD53" s="32"/>
    </row>
    <row r="54" spans="1:30" s="12" customFormat="1" x14ac:dyDescent="0.25">
      <c r="A54" s="12">
        <v>4</v>
      </c>
      <c r="B54" s="13"/>
      <c r="C54" s="52"/>
      <c r="D54" s="13"/>
      <c r="E54" s="52"/>
      <c r="F54" s="52"/>
      <c r="G54" s="1"/>
      <c r="H54" s="64"/>
      <c r="I54" s="64"/>
      <c r="J54" s="67"/>
      <c r="K54" s="64"/>
      <c r="L54" s="75"/>
      <c r="M54" s="27"/>
      <c r="N54" s="27"/>
      <c r="O54" s="27"/>
      <c r="P54" s="28"/>
      <c r="Q54" s="27"/>
      <c r="R54" s="3"/>
      <c r="S54" s="29"/>
      <c r="T54" s="27"/>
      <c r="U54" s="30"/>
      <c r="V54" s="31"/>
      <c r="W54" s="32"/>
      <c r="X54" s="14"/>
      <c r="Y54" s="33"/>
      <c r="Z54" s="31"/>
      <c r="AA54" s="32"/>
      <c r="AB54" s="31"/>
      <c r="AC54" s="32"/>
      <c r="AD54" s="32"/>
    </row>
    <row r="55" spans="1:30" s="15" customFormat="1" x14ac:dyDescent="0.25">
      <c r="A55" s="15">
        <v>5</v>
      </c>
      <c r="B55" s="16"/>
      <c r="C55" s="53"/>
      <c r="D55" s="16"/>
      <c r="E55" s="53"/>
      <c r="F55" s="53"/>
      <c r="G55" s="51"/>
      <c r="H55" s="65"/>
      <c r="I55" s="65"/>
      <c r="J55" s="68"/>
      <c r="K55" s="65"/>
      <c r="L55" s="76"/>
      <c r="M55" s="34"/>
      <c r="N55" s="34"/>
      <c r="O55" s="34"/>
      <c r="P55" s="35"/>
      <c r="Q55" s="34"/>
      <c r="R55" s="36"/>
      <c r="S55" s="37"/>
      <c r="T55" s="34"/>
      <c r="U55" s="38"/>
      <c r="V55" s="39"/>
      <c r="W55" s="40"/>
      <c r="X55" s="17"/>
      <c r="Y55" s="41"/>
      <c r="Z55" s="39"/>
      <c r="AA55" s="40"/>
      <c r="AB55" s="39"/>
      <c r="AC55" s="40"/>
      <c r="AD55" s="40"/>
    </row>
    <row r="56" spans="1:30" s="8" customFormat="1" x14ac:dyDescent="0.25">
      <c r="B56" s="9" t="s">
        <v>210</v>
      </c>
      <c r="C56" s="6">
        <f>COUNTIF(C57:C61,"Yes")</f>
        <v>0</v>
      </c>
      <c r="D56" s="9"/>
      <c r="E56" s="6"/>
      <c r="F56" s="6"/>
      <c r="G56" s="5"/>
      <c r="H56" s="63"/>
      <c r="I56" s="63"/>
      <c r="J56" s="5"/>
      <c r="K56" s="5"/>
      <c r="L56" s="72"/>
      <c r="M56" s="11"/>
      <c r="N56" s="11"/>
      <c r="O56" s="11"/>
      <c r="P56" s="11"/>
      <c r="Q56" s="11"/>
      <c r="R56" s="11"/>
      <c r="S56" s="11"/>
      <c r="T56" s="11"/>
      <c r="U56" s="11"/>
    </row>
    <row r="57" spans="1:30" s="12" customFormat="1" x14ac:dyDescent="0.25">
      <c r="A57" s="12">
        <v>1</v>
      </c>
      <c r="B57" s="13"/>
      <c r="C57" s="52"/>
      <c r="D57" s="13"/>
      <c r="E57" s="52"/>
      <c r="F57" s="52"/>
      <c r="G57" s="1"/>
      <c r="H57" s="64"/>
      <c r="I57" s="64"/>
      <c r="J57" s="1"/>
      <c r="K57" s="1"/>
      <c r="L57" s="4"/>
      <c r="M57" s="2"/>
      <c r="N57" s="2"/>
      <c r="O57" s="2"/>
      <c r="P57" s="2"/>
      <c r="Q57" s="2"/>
      <c r="R57" s="2"/>
      <c r="S57" s="2"/>
      <c r="T57" s="2"/>
      <c r="U57" s="2"/>
    </row>
    <row r="58" spans="1:30" s="12" customFormat="1" x14ac:dyDescent="0.25">
      <c r="A58" s="12">
        <v>2</v>
      </c>
      <c r="B58" s="13"/>
      <c r="C58" s="52"/>
      <c r="D58" s="13"/>
      <c r="E58" s="52"/>
      <c r="F58" s="52"/>
      <c r="G58" s="1"/>
      <c r="H58" s="64"/>
      <c r="I58" s="64"/>
      <c r="J58" s="1"/>
      <c r="K58" s="1"/>
      <c r="L58" s="4"/>
      <c r="M58" s="2"/>
      <c r="N58" s="2"/>
      <c r="O58" s="2"/>
      <c r="P58" s="2"/>
      <c r="Q58" s="2"/>
      <c r="R58" s="2"/>
      <c r="S58" s="2"/>
      <c r="T58" s="2"/>
      <c r="U58" s="2"/>
    </row>
    <row r="59" spans="1:30" s="12" customFormat="1" x14ac:dyDescent="0.25">
      <c r="A59" s="12">
        <v>3</v>
      </c>
      <c r="B59" s="13"/>
      <c r="C59" s="52"/>
      <c r="D59" s="13"/>
      <c r="E59" s="52"/>
      <c r="F59" s="52"/>
      <c r="G59" s="1"/>
      <c r="H59" s="64"/>
      <c r="I59" s="64"/>
      <c r="J59" s="1"/>
      <c r="K59" s="1"/>
      <c r="L59" s="4"/>
      <c r="M59" s="2"/>
      <c r="N59" s="2"/>
      <c r="O59" s="2"/>
      <c r="P59" s="2"/>
      <c r="Q59" s="2"/>
      <c r="R59" s="2"/>
      <c r="S59" s="2"/>
      <c r="T59" s="2"/>
      <c r="U59" s="2"/>
    </row>
    <row r="60" spans="1:30" s="12" customFormat="1" x14ac:dyDescent="0.25">
      <c r="A60" s="12">
        <v>4</v>
      </c>
      <c r="B60" s="13"/>
      <c r="C60" s="52"/>
      <c r="D60" s="13"/>
      <c r="E60" s="52"/>
      <c r="F60" s="52"/>
      <c r="G60" s="1"/>
      <c r="H60" s="64"/>
      <c r="I60" s="64"/>
      <c r="J60" s="1"/>
      <c r="K60" s="1"/>
      <c r="L60" s="4"/>
      <c r="M60" s="2"/>
      <c r="N60" s="2"/>
      <c r="O60" s="2"/>
      <c r="P60" s="2"/>
      <c r="Q60" s="2"/>
      <c r="R60" s="2"/>
      <c r="S60" s="2"/>
      <c r="T60" s="2"/>
      <c r="U60" s="2"/>
    </row>
    <row r="61" spans="1:30" s="15" customFormat="1" x14ac:dyDescent="0.25">
      <c r="A61" s="15">
        <v>5</v>
      </c>
      <c r="B61" s="16"/>
      <c r="C61" s="53"/>
      <c r="D61" s="16"/>
      <c r="E61" s="53"/>
      <c r="F61" s="53"/>
      <c r="G61" s="51"/>
      <c r="H61" s="65"/>
      <c r="I61" s="65"/>
      <c r="J61" s="51"/>
      <c r="K61" s="51"/>
      <c r="L61" s="73"/>
      <c r="M61" s="18"/>
      <c r="N61" s="18"/>
      <c r="O61" s="18"/>
      <c r="P61" s="18"/>
      <c r="Q61" s="18"/>
      <c r="R61" s="18"/>
      <c r="S61" s="18"/>
      <c r="T61" s="18"/>
      <c r="U61" s="18"/>
    </row>
    <row r="62" spans="1:30" s="8" customFormat="1" x14ac:dyDescent="0.25">
      <c r="B62" s="9" t="s">
        <v>215</v>
      </c>
      <c r="C62" s="6">
        <f>COUNTIF(C63:C67,"Yes")</f>
        <v>0</v>
      </c>
      <c r="D62" s="9"/>
      <c r="E62" s="6"/>
      <c r="F62" s="6"/>
      <c r="G62" s="5"/>
      <c r="H62" s="63"/>
      <c r="I62" s="63"/>
      <c r="J62" s="5"/>
      <c r="K62" s="5"/>
      <c r="L62" s="72"/>
      <c r="M62" s="11"/>
      <c r="N62" s="11"/>
      <c r="O62" s="11"/>
      <c r="P62" s="11"/>
      <c r="Q62" s="11"/>
      <c r="R62" s="11"/>
      <c r="S62" s="11"/>
      <c r="T62" s="11"/>
      <c r="U62" s="11"/>
    </row>
    <row r="63" spans="1:30" s="12" customFormat="1" x14ac:dyDescent="0.25">
      <c r="A63" s="12">
        <v>1</v>
      </c>
      <c r="B63" s="13"/>
      <c r="C63" s="52"/>
      <c r="D63" s="13"/>
      <c r="E63" s="52"/>
      <c r="F63" s="52"/>
      <c r="G63" s="1"/>
      <c r="H63" s="64"/>
      <c r="I63" s="64"/>
      <c r="J63" s="1"/>
      <c r="K63" s="1"/>
      <c r="L63" s="4"/>
      <c r="M63" s="2"/>
      <c r="N63" s="2"/>
      <c r="O63" s="2"/>
      <c r="P63" s="2"/>
      <c r="Q63" s="2"/>
      <c r="R63" s="2"/>
      <c r="S63" s="2"/>
      <c r="T63" s="2"/>
      <c r="U63" s="2"/>
    </row>
    <row r="64" spans="1:30" s="12" customFormat="1" x14ac:dyDescent="0.25">
      <c r="A64" s="12">
        <v>2</v>
      </c>
      <c r="B64" s="13"/>
      <c r="C64" s="52"/>
      <c r="D64" s="13"/>
      <c r="E64" s="52"/>
      <c r="F64" s="52"/>
      <c r="G64" s="1"/>
      <c r="H64" s="64"/>
      <c r="I64" s="64"/>
      <c r="J64" s="1"/>
      <c r="K64" s="1"/>
      <c r="L64" s="4"/>
      <c r="M64" s="2"/>
      <c r="N64" s="2"/>
      <c r="O64" s="2"/>
      <c r="P64" s="2"/>
      <c r="Q64" s="2"/>
      <c r="R64" s="2"/>
      <c r="S64" s="2"/>
      <c r="T64" s="2"/>
      <c r="U64" s="2"/>
    </row>
    <row r="65" spans="1:21" s="12" customFormat="1" x14ac:dyDescent="0.25">
      <c r="A65" s="12">
        <v>3</v>
      </c>
      <c r="B65" s="13"/>
      <c r="C65" s="52"/>
      <c r="D65" s="13"/>
      <c r="E65" s="52"/>
      <c r="F65" s="52"/>
      <c r="G65" s="1"/>
      <c r="H65" s="64"/>
      <c r="I65" s="64"/>
      <c r="J65" s="1"/>
      <c r="K65" s="1"/>
      <c r="L65" s="4"/>
      <c r="M65" s="2"/>
      <c r="N65" s="2"/>
      <c r="O65" s="2"/>
      <c r="P65" s="2"/>
      <c r="Q65" s="2"/>
      <c r="R65" s="2"/>
      <c r="S65" s="2"/>
      <c r="T65" s="2"/>
      <c r="U65" s="2"/>
    </row>
    <row r="66" spans="1:21" s="12" customFormat="1" x14ac:dyDescent="0.25">
      <c r="A66" s="12">
        <v>4</v>
      </c>
      <c r="B66" s="13"/>
      <c r="C66" s="52"/>
      <c r="D66" s="13"/>
      <c r="E66" s="52"/>
      <c r="F66" s="52"/>
      <c r="G66" s="1"/>
      <c r="H66" s="64"/>
      <c r="I66" s="64"/>
      <c r="J66" s="1"/>
      <c r="K66" s="1"/>
      <c r="L66" s="4"/>
      <c r="M66" s="2"/>
      <c r="N66" s="2"/>
      <c r="O66" s="2"/>
      <c r="P66" s="2"/>
      <c r="Q66" s="2"/>
      <c r="R66" s="2"/>
      <c r="S66" s="2"/>
      <c r="T66" s="2"/>
      <c r="U66" s="2"/>
    </row>
    <row r="67" spans="1:21" s="15" customFormat="1" x14ac:dyDescent="0.25">
      <c r="A67" s="15">
        <v>5</v>
      </c>
      <c r="B67" s="16"/>
      <c r="C67" s="53"/>
      <c r="D67" s="16"/>
      <c r="E67" s="53"/>
      <c r="F67" s="53"/>
      <c r="G67" s="51"/>
      <c r="H67" s="65"/>
      <c r="I67" s="65"/>
      <c r="J67" s="51"/>
      <c r="K67" s="51"/>
      <c r="L67" s="73"/>
      <c r="M67" s="18"/>
      <c r="N67" s="18"/>
      <c r="O67" s="18"/>
      <c r="P67" s="18"/>
      <c r="Q67" s="18"/>
      <c r="R67" s="18"/>
      <c r="S67" s="18"/>
      <c r="T67" s="18"/>
      <c r="U67" s="18"/>
    </row>
    <row r="68" spans="1:21" s="8" customFormat="1" x14ac:dyDescent="0.25">
      <c r="B68" s="9" t="s">
        <v>216</v>
      </c>
      <c r="C68" s="6">
        <f>COUNTIF(C69:C73,"Yes")</f>
        <v>0</v>
      </c>
      <c r="D68" s="9"/>
      <c r="E68" s="6"/>
      <c r="F68" s="6"/>
      <c r="G68" s="5"/>
      <c r="H68" s="63"/>
      <c r="I68" s="63"/>
      <c r="J68" s="5"/>
      <c r="K68" s="5"/>
      <c r="L68" s="72"/>
      <c r="M68" s="11"/>
      <c r="N68" s="11"/>
      <c r="O68" s="11"/>
      <c r="P68" s="11"/>
      <c r="Q68" s="11"/>
      <c r="R68" s="11"/>
      <c r="S68" s="11"/>
      <c r="T68" s="11"/>
      <c r="U68" s="11"/>
    </row>
    <row r="69" spans="1:21" s="12" customFormat="1" x14ac:dyDescent="0.25">
      <c r="A69" s="12">
        <v>1</v>
      </c>
      <c r="B69" s="13"/>
      <c r="C69" s="52"/>
      <c r="D69" s="13"/>
      <c r="E69" s="52"/>
      <c r="F69" s="52"/>
      <c r="G69" s="1"/>
      <c r="H69" s="64"/>
      <c r="I69" s="64"/>
      <c r="J69" s="1"/>
      <c r="K69" s="1"/>
      <c r="L69" s="4"/>
      <c r="M69" s="2"/>
      <c r="N69" s="2"/>
      <c r="O69" s="2"/>
      <c r="P69" s="2"/>
      <c r="Q69" s="2"/>
      <c r="R69" s="2"/>
      <c r="S69" s="2"/>
      <c r="T69" s="2"/>
      <c r="U69" s="2"/>
    </row>
    <row r="70" spans="1:21" s="12" customFormat="1" x14ac:dyDescent="0.25">
      <c r="A70" s="12">
        <v>2</v>
      </c>
      <c r="B70" s="13"/>
      <c r="C70" s="52"/>
      <c r="D70" s="13"/>
      <c r="E70" s="52"/>
      <c r="F70" s="52"/>
      <c r="G70" s="1"/>
      <c r="H70" s="64"/>
      <c r="I70" s="64"/>
      <c r="J70" s="1"/>
      <c r="K70" s="1"/>
      <c r="L70" s="4"/>
      <c r="M70" s="2"/>
      <c r="N70" s="2"/>
      <c r="O70" s="2"/>
      <c r="P70" s="2"/>
      <c r="Q70" s="2"/>
      <c r="R70" s="2"/>
      <c r="S70" s="2"/>
      <c r="T70" s="2"/>
      <c r="U70" s="2"/>
    </row>
    <row r="71" spans="1:21" s="12" customFormat="1" x14ac:dyDescent="0.25">
      <c r="A71" s="12">
        <v>3</v>
      </c>
      <c r="B71" s="13"/>
      <c r="C71" s="52"/>
      <c r="D71" s="13"/>
      <c r="E71" s="52"/>
      <c r="F71" s="52"/>
      <c r="G71" s="1"/>
      <c r="H71" s="64"/>
      <c r="I71" s="64"/>
      <c r="J71" s="1"/>
      <c r="K71" s="1"/>
      <c r="L71" s="4"/>
      <c r="M71" s="2"/>
      <c r="N71" s="2"/>
      <c r="O71" s="2"/>
      <c r="P71" s="2"/>
      <c r="Q71" s="2"/>
      <c r="R71" s="2"/>
      <c r="S71" s="2"/>
      <c r="T71" s="2"/>
      <c r="U71" s="2"/>
    </row>
    <row r="72" spans="1:21" s="12" customFormat="1" x14ac:dyDescent="0.25">
      <c r="A72" s="12">
        <v>4</v>
      </c>
      <c r="B72" s="13"/>
      <c r="C72" s="52"/>
      <c r="D72" s="13"/>
      <c r="E72" s="52"/>
      <c r="F72" s="52"/>
      <c r="G72" s="1"/>
      <c r="H72" s="64"/>
      <c r="I72" s="64"/>
      <c r="J72" s="1"/>
      <c r="K72" s="1"/>
      <c r="L72" s="4"/>
      <c r="M72" s="2"/>
      <c r="N72" s="2"/>
      <c r="O72" s="2"/>
      <c r="P72" s="2"/>
      <c r="Q72" s="2"/>
      <c r="R72" s="2"/>
      <c r="S72" s="2"/>
      <c r="T72" s="2"/>
      <c r="U72" s="2"/>
    </row>
    <row r="73" spans="1:21" s="15" customFormat="1" x14ac:dyDescent="0.25">
      <c r="A73" s="15">
        <v>5</v>
      </c>
      <c r="B73" s="16"/>
      <c r="C73" s="53"/>
      <c r="D73" s="16"/>
      <c r="E73" s="53"/>
      <c r="F73" s="53"/>
      <c r="G73" s="51"/>
      <c r="H73" s="65"/>
      <c r="I73" s="65"/>
      <c r="J73" s="51"/>
      <c r="K73" s="51"/>
      <c r="L73" s="73"/>
      <c r="M73" s="18"/>
      <c r="N73" s="18"/>
      <c r="O73" s="18"/>
      <c r="P73" s="18"/>
      <c r="Q73" s="18"/>
      <c r="R73" s="18"/>
      <c r="S73" s="18"/>
      <c r="T73" s="18"/>
      <c r="U73" s="18"/>
    </row>
    <row r="74" spans="1:21" s="8" customFormat="1" x14ac:dyDescent="0.25">
      <c r="B74" s="9" t="s">
        <v>580</v>
      </c>
      <c r="C74" s="6">
        <f>COUNTIF(C75:C79,"Yes")</f>
        <v>0</v>
      </c>
      <c r="D74" s="9"/>
      <c r="E74" s="6"/>
      <c r="F74" s="6"/>
      <c r="G74" s="5"/>
      <c r="H74" s="63"/>
      <c r="I74" s="63"/>
      <c r="J74" s="5"/>
      <c r="K74" s="5"/>
      <c r="L74" s="72"/>
      <c r="M74" s="11"/>
      <c r="N74" s="11"/>
      <c r="O74" s="11"/>
      <c r="P74" s="11"/>
      <c r="Q74" s="11"/>
      <c r="R74" s="11"/>
      <c r="S74" s="11"/>
      <c r="T74" s="11"/>
      <c r="U74" s="11"/>
    </row>
    <row r="75" spans="1:21" s="12" customFormat="1" x14ac:dyDescent="0.25">
      <c r="A75" s="12">
        <v>1</v>
      </c>
      <c r="B75" s="13"/>
      <c r="C75" s="52"/>
      <c r="D75" s="13"/>
      <c r="E75" s="52"/>
      <c r="F75" s="52"/>
      <c r="G75" s="1"/>
      <c r="H75" s="64"/>
      <c r="I75" s="64"/>
      <c r="J75" s="1"/>
      <c r="K75" s="1"/>
      <c r="L75" s="4"/>
      <c r="M75" s="2"/>
      <c r="N75" s="2"/>
      <c r="O75" s="2"/>
      <c r="P75" s="2"/>
      <c r="Q75" s="2"/>
      <c r="R75" s="2"/>
      <c r="S75" s="2"/>
      <c r="T75" s="2"/>
      <c r="U75" s="2"/>
    </row>
    <row r="76" spans="1:21" s="12" customFormat="1" x14ac:dyDescent="0.25">
      <c r="A76" s="12">
        <v>2</v>
      </c>
      <c r="B76" s="13"/>
      <c r="C76" s="52"/>
      <c r="D76" s="13"/>
      <c r="E76" s="52"/>
      <c r="F76" s="52"/>
      <c r="G76" s="1"/>
      <c r="H76" s="64"/>
      <c r="I76" s="64"/>
      <c r="J76" s="1"/>
      <c r="K76" s="1"/>
      <c r="L76" s="4"/>
      <c r="M76" s="2"/>
      <c r="N76" s="2"/>
      <c r="O76" s="2"/>
      <c r="P76" s="2"/>
      <c r="Q76" s="2"/>
      <c r="R76" s="2"/>
      <c r="S76" s="2"/>
      <c r="T76" s="2"/>
      <c r="U76" s="2"/>
    </row>
    <row r="77" spans="1:21" s="12" customFormat="1" x14ac:dyDescent="0.25">
      <c r="A77" s="12">
        <v>3</v>
      </c>
      <c r="B77" s="13"/>
      <c r="C77" s="52"/>
      <c r="D77" s="13"/>
      <c r="E77" s="52"/>
      <c r="F77" s="52"/>
      <c r="G77" s="1"/>
      <c r="H77" s="64"/>
      <c r="I77" s="64"/>
      <c r="J77" s="1"/>
      <c r="K77" s="1"/>
      <c r="L77" s="4"/>
      <c r="M77" s="2"/>
      <c r="N77" s="2"/>
      <c r="O77" s="2"/>
      <c r="P77" s="2"/>
      <c r="Q77" s="2"/>
      <c r="R77" s="2"/>
      <c r="S77" s="2"/>
      <c r="T77" s="2"/>
      <c r="U77" s="2"/>
    </row>
    <row r="78" spans="1:21" s="12" customFormat="1" x14ac:dyDescent="0.25">
      <c r="A78" s="12">
        <v>4</v>
      </c>
      <c r="B78" s="13"/>
      <c r="C78" s="52"/>
      <c r="D78" s="13"/>
      <c r="E78" s="52"/>
      <c r="F78" s="52"/>
      <c r="G78" s="1"/>
      <c r="H78" s="64"/>
      <c r="I78" s="64"/>
      <c r="J78" s="1"/>
      <c r="K78" s="1"/>
      <c r="L78" s="4"/>
      <c r="M78" s="2"/>
      <c r="N78" s="2"/>
      <c r="O78" s="2"/>
      <c r="P78" s="2"/>
      <c r="Q78" s="2"/>
      <c r="R78" s="2"/>
      <c r="S78" s="2"/>
      <c r="T78" s="2"/>
      <c r="U78" s="2"/>
    </row>
    <row r="79" spans="1:21" s="15" customFormat="1" x14ac:dyDescent="0.25">
      <c r="A79" s="15">
        <v>5</v>
      </c>
      <c r="B79" s="16"/>
      <c r="C79" s="53"/>
      <c r="D79" s="16"/>
      <c r="E79" s="53"/>
      <c r="F79" s="53"/>
      <c r="G79" s="51"/>
      <c r="H79" s="65"/>
      <c r="I79" s="65"/>
      <c r="J79" s="51"/>
      <c r="K79" s="51"/>
      <c r="L79" s="73"/>
      <c r="M79" s="18"/>
      <c r="N79" s="18"/>
      <c r="O79" s="18"/>
      <c r="P79" s="18"/>
      <c r="Q79" s="18"/>
      <c r="R79" s="18"/>
      <c r="S79" s="18"/>
      <c r="T79" s="18"/>
      <c r="U79" s="18"/>
    </row>
    <row r="80" spans="1:21" s="8" customFormat="1" x14ac:dyDescent="0.25">
      <c r="B80" s="9" t="s">
        <v>219</v>
      </c>
      <c r="C80" s="6">
        <f>COUNTIF(C81:C85,"Yes")</f>
        <v>0</v>
      </c>
      <c r="D80" s="9"/>
      <c r="E80" s="6"/>
      <c r="F80" s="6"/>
      <c r="G80" s="5"/>
      <c r="H80" s="63"/>
      <c r="I80" s="63"/>
      <c r="J80" s="5"/>
      <c r="K80" s="5"/>
      <c r="L80" s="72"/>
      <c r="M80" s="11"/>
      <c r="N80" s="11"/>
      <c r="O80" s="11"/>
      <c r="P80" s="11"/>
      <c r="Q80" s="11"/>
      <c r="R80" s="11"/>
      <c r="S80" s="11"/>
      <c r="T80" s="11"/>
      <c r="U80" s="11"/>
    </row>
    <row r="81" spans="1:21" s="12" customFormat="1" x14ac:dyDescent="0.25">
      <c r="A81" s="12">
        <v>1</v>
      </c>
      <c r="B81" s="13"/>
      <c r="C81" s="52"/>
      <c r="D81" s="13"/>
      <c r="E81" s="52"/>
      <c r="F81" s="52"/>
      <c r="G81" s="1"/>
      <c r="H81" s="64"/>
      <c r="I81" s="64"/>
      <c r="J81" s="1"/>
      <c r="K81" s="1"/>
      <c r="L81" s="4"/>
      <c r="M81" s="2"/>
      <c r="N81" s="2"/>
      <c r="O81" s="2"/>
      <c r="P81" s="2"/>
      <c r="Q81" s="2"/>
      <c r="R81" s="2"/>
      <c r="S81" s="2"/>
      <c r="T81" s="2"/>
      <c r="U81" s="2"/>
    </row>
    <row r="82" spans="1:21" s="12" customFormat="1" x14ac:dyDescent="0.25">
      <c r="A82" s="12">
        <v>2</v>
      </c>
      <c r="B82" s="13"/>
      <c r="C82" s="52"/>
      <c r="D82" s="13"/>
      <c r="E82" s="52"/>
      <c r="F82" s="52"/>
      <c r="G82" s="1"/>
      <c r="H82" s="64"/>
      <c r="I82" s="64"/>
      <c r="J82" s="1"/>
      <c r="K82" s="1"/>
      <c r="L82" s="4"/>
      <c r="M82" s="2"/>
      <c r="N82" s="2"/>
      <c r="O82" s="2"/>
      <c r="P82" s="2"/>
      <c r="Q82" s="2"/>
      <c r="R82" s="2"/>
      <c r="S82" s="2"/>
      <c r="T82" s="2"/>
      <c r="U82" s="2"/>
    </row>
    <row r="83" spans="1:21" s="12" customFormat="1" x14ac:dyDescent="0.25">
      <c r="A83" s="12">
        <v>3</v>
      </c>
      <c r="B83" s="13"/>
      <c r="C83" s="52"/>
      <c r="D83" s="13"/>
      <c r="E83" s="52"/>
      <c r="F83" s="52"/>
      <c r="G83" s="1"/>
      <c r="H83" s="64"/>
      <c r="I83" s="64"/>
      <c r="J83" s="1"/>
      <c r="K83" s="1"/>
      <c r="L83" s="4"/>
      <c r="M83" s="2"/>
      <c r="N83" s="2"/>
      <c r="O83" s="2"/>
      <c r="P83" s="2"/>
      <c r="Q83" s="2"/>
      <c r="R83" s="2"/>
      <c r="S83" s="2"/>
      <c r="T83" s="2"/>
      <c r="U83" s="2"/>
    </row>
    <row r="84" spans="1:21" s="12" customFormat="1" x14ac:dyDescent="0.25">
      <c r="A84" s="12">
        <v>4</v>
      </c>
      <c r="B84" s="13"/>
      <c r="C84" s="52"/>
      <c r="D84" s="13"/>
      <c r="E84" s="52"/>
      <c r="F84" s="52"/>
      <c r="G84" s="1"/>
      <c r="H84" s="64"/>
      <c r="I84" s="64"/>
      <c r="J84" s="1"/>
      <c r="K84" s="1"/>
      <c r="L84" s="4"/>
      <c r="M84" s="2"/>
      <c r="N84" s="2"/>
      <c r="O84" s="2"/>
      <c r="P84" s="2"/>
      <c r="Q84" s="2"/>
      <c r="R84" s="2"/>
      <c r="S84" s="2"/>
      <c r="T84" s="2"/>
      <c r="U84" s="2"/>
    </row>
    <row r="85" spans="1:21" s="15" customFormat="1" x14ac:dyDescent="0.25">
      <c r="A85" s="15">
        <v>5</v>
      </c>
      <c r="B85" s="16"/>
      <c r="C85" s="53"/>
      <c r="D85" s="16"/>
      <c r="E85" s="53"/>
      <c r="F85" s="53"/>
      <c r="G85" s="51"/>
      <c r="H85" s="65"/>
      <c r="I85" s="65"/>
      <c r="J85" s="51"/>
      <c r="K85" s="51"/>
      <c r="L85" s="73"/>
      <c r="M85" s="18"/>
      <c r="N85" s="18"/>
      <c r="O85" s="18"/>
      <c r="P85" s="18"/>
      <c r="Q85" s="18"/>
      <c r="R85" s="18"/>
      <c r="S85" s="18"/>
      <c r="T85" s="18"/>
      <c r="U85" s="18"/>
    </row>
    <row r="86" spans="1:21" s="8" customFormat="1" x14ac:dyDescent="0.25">
      <c r="B86" s="9" t="s">
        <v>221</v>
      </c>
      <c r="C86" s="6">
        <f>COUNTIF(C87:C91,"Yes")</f>
        <v>0</v>
      </c>
      <c r="D86" s="9"/>
      <c r="E86" s="6"/>
      <c r="F86" s="6"/>
      <c r="G86" s="5"/>
      <c r="H86" s="63"/>
      <c r="I86" s="63"/>
      <c r="J86" s="5"/>
      <c r="K86" s="5"/>
      <c r="L86" s="72"/>
      <c r="M86" s="11"/>
      <c r="N86" s="11"/>
      <c r="O86" s="11"/>
      <c r="P86" s="11"/>
      <c r="Q86" s="11"/>
      <c r="R86" s="11"/>
      <c r="S86" s="11"/>
      <c r="T86" s="11"/>
      <c r="U86" s="11"/>
    </row>
    <row r="87" spans="1:21" s="12" customFormat="1" x14ac:dyDescent="0.25">
      <c r="A87" s="12">
        <v>1</v>
      </c>
      <c r="B87" s="13"/>
      <c r="C87" s="52"/>
      <c r="D87" s="13"/>
      <c r="E87" s="52"/>
      <c r="F87" s="52"/>
      <c r="G87" s="1"/>
      <c r="H87" s="64"/>
      <c r="I87" s="64"/>
      <c r="J87" s="1"/>
      <c r="K87" s="1"/>
      <c r="L87" s="4"/>
      <c r="M87" s="2"/>
      <c r="N87" s="2"/>
      <c r="O87" s="2"/>
      <c r="P87" s="2"/>
      <c r="Q87" s="2"/>
      <c r="R87" s="2"/>
      <c r="S87" s="2"/>
      <c r="T87" s="2"/>
      <c r="U87" s="2"/>
    </row>
    <row r="88" spans="1:21" s="12" customFormat="1" x14ac:dyDescent="0.25">
      <c r="A88" s="12">
        <v>2</v>
      </c>
      <c r="B88" s="13"/>
      <c r="C88" s="52"/>
      <c r="D88" s="13"/>
      <c r="E88" s="52"/>
      <c r="F88" s="52"/>
      <c r="G88" s="1"/>
      <c r="H88" s="64"/>
      <c r="I88" s="64"/>
      <c r="J88" s="1"/>
      <c r="K88" s="1"/>
      <c r="L88" s="4"/>
      <c r="M88" s="2"/>
      <c r="N88" s="2"/>
      <c r="O88" s="2"/>
      <c r="P88" s="2"/>
      <c r="Q88" s="2"/>
      <c r="R88" s="2"/>
      <c r="S88" s="2"/>
      <c r="T88" s="2"/>
      <c r="U88" s="2"/>
    </row>
    <row r="89" spans="1:21" s="12" customFormat="1" x14ac:dyDescent="0.25">
      <c r="A89" s="12">
        <v>3</v>
      </c>
      <c r="B89" s="13"/>
      <c r="C89" s="52"/>
      <c r="D89" s="13"/>
      <c r="E89" s="52"/>
      <c r="F89" s="52"/>
      <c r="G89" s="1"/>
      <c r="H89" s="64"/>
      <c r="I89" s="64"/>
      <c r="J89" s="1"/>
      <c r="K89" s="1"/>
      <c r="L89" s="4"/>
      <c r="M89" s="2"/>
      <c r="N89" s="2"/>
      <c r="O89" s="2"/>
      <c r="P89" s="2"/>
      <c r="Q89" s="2"/>
      <c r="R89" s="2"/>
      <c r="S89" s="2"/>
      <c r="T89" s="2"/>
      <c r="U89" s="2"/>
    </row>
    <row r="90" spans="1:21" s="12" customFormat="1" x14ac:dyDescent="0.25">
      <c r="A90" s="12">
        <v>4</v>
      </c>
      <c r="B90" s="13"/>
      <c r="C90" s="52"/>
      <c r="D90" s="13"/>
      <c r="E90" s="52"/>
      <c r="F90" s="52"/>
      <c r="G90" s="1"/>
      <c r="H90" s="64"/>
      <c r="I90" s="64"/>
      <c r="J90" s="1"/>
      <c r="K90" s="1"/>
      <c r="L90" s="4"/>
      <c r="M90" s="2"/>
      <c r="N90" s="2"/>
      <c r="O90" s="2"/>
      <c r="P90" s="2"/>
      <c r="Q90" s="2"/>
      <c r="R90" s="2"/>
      <c r="S90" s="2"/>
      <c r="T90" s="2"/>
      <c r="U90" s="2"/>
    </row>
    <row r="91" spans="1:21" s="15" customFormat="1" x14ac:dyDescent="0.25">
      <c r="A91" s="15">
        <v>5</v>
      </c>
      <c r="B91" s="16"/>
      <c r="C91" s="53"/>
      <c r="D91" s="16"/>
      <c r="E91" s="53"/>
      <c r="F91" s="53"/>
      <c r="G91" s="51"/>
      <c r="H91" s="65"/>
      <c r="I91" s="65"/>
      <c r="J91" s="51"/>
      <c r="K91" s="51"/>
      <c r="L91" s="73"/>
      <c r="M91" s="18"/>
      <c r="N91" s="18"/>
      <c r="O91" s="18"/>
      <c r="P91" s="18"/>
      <c r="Q91" s="18"/>
      <c r="R91" s="18"/>
      <c r="S91" s="18"/>
      <c r="T91" s="18"/>
      <c r="U91" s="18"/>
    </row>
    <row r="92" spans="1:21" s="8" customFormat="1" x14ac:dyDescent="0.25">
      <c r="B92" s="9" t="s">
        <v>224</v>
      </c>
      <c r="C92" s="6">
        <f>COUNTIF(C93:C97,"Yes")</f>
        <v>0</v>
      </c>
      <c r="D92" s="9"/>
      <c r="E92" s="6"/>
      <c r="F92" s="6"/>
      <c r="G92" s="5"/>
      <c r="H92" s="63"/>
      <c r="I92" s="63"/>
      <c r="J92" s="5"/>
      <c r="K92" s="5"/>
      <c r="L92" s="72"/>
      <c r="M92" s="11"/>
      <c r="N92" s="11"/>
      <c r="O92" s="11"/>
      <c r="P92" s="11"/>
      <c r="Q92" s="11"/>
      <c r="R92" s="11"/>
      <c r="S92" s="11"/>
      <c r="T92" s="11"/>
      <c r="U92" s="11"/>
    </row>
    <row r="93" spans="1:21" s="12" customFormat="1" x14ac:dyDescent="0.25">
      <c r="A93" s="12">
        <v>1</v>
      </c>
      <c r="B93" s="13"/>
      <c r="C93" s="52"/>
      <c r="D93" s="13"/>
      <c r="E93" s="52"/>
      <c r="F93" s="52"/>
      <c r="G93" s="1"/>
      <c r="H93" s="64"/>
      <c r="I93" s="64"/>
      <c r="J93" s="1"/>
      <c r="K93" s="1"/>
      <c r="L93" s="4"/>
      <c r="M93" s="2"/>
      <c r="N93" s="2"/>
      <c r="O93" s="2"/>
      <c r="P93" s="2"/>
      <c r="Q93" s="2"/>
      <c r="R93" s="2"/>
      <c r="S93" s="2"/>
      <c r="T93" s="2"/>
      <c r="U93" s="2"/>
    </row>
    <row r="94" spans="1:21" s="12" customFormat="1" x14ac:dyDescent="0.25">
      <c r="A94" s="12">
        <v>2</v>
      </c>
      <c r="B94" s="13"/>
      <c r="C94" s="52"/>
      <c r="D94" s="13"/>
      <c r="E94" s="52"/>
      <c r="F94" s="52"/>
      <c r="G94" s="1"/>
      <c r="H94" s="64"/>
      <c r="I94" s="64"/>
      <c r="J94" s="1"/>
      <c r="K94" s="1"/>
      <c r="L94" s="4"/>
      <c r="M94" s="2"/>
      <c r="N94" s="2"/>
      <c r="O94" s="2"/>
      <c r="P94" s="2"/>
      <c r="Q94" s="2"/>
      <c r="R94" s="2"/>
      <c r="S94" s="2"/>
      <c r="T94" s="2"/>
      <c r="U94" s="2"/>
    </row>
    <row r="95" spans="1:21" s="12" customFormat="1" x14ac:dyDescent="0.25">
      <c r="A95" s="12">
        <v>3</v>
      </c>
      <c r="B95" s="13"/>
      <c r="C95" s="52"/>
      <c r="D95" s="13"/>
      <c r="E95" s="52"/>
      <c r="F95" s="52"/>
      <c r="G95" s="1"/>
      <c r="H95" s="64"/>
      <c r="I95" s="64"/>
      <c r="J95" s="1"/>
      <c r="K95" s="1"/>
      <c r="L95" s="4"/>
      <c r="M95" s="2"/>
      <c r="N95" s="2"/>
      <c r="O95" s="2"/>
      <c r="P95" s="2"/>
      <c r="Q95" s="2"/>
      <c r="R95" s="2"/>
      <c r="S95" s="2"/>
      <c r="T95" s="2"/>
      <c r="U95" s="2"/>
    </row>
    <row r="96" spans="1:21" s="12" customFormat="1" x14ac:dyDescent="0.25">
      <c r="A96" s="12">
        <v>4</v>
      </c>
      <c r="B96" s="13"/>
      <c r="C96" s="52"/>
      <c r="D96" s="13"/>
      <c r="E96" s="52"/>
      <c r="F96" s="52"/>
      <c r="G96" s="1"/>
      <c r="H96" s="64"/>
      <c r="I96" s="64"/>
      <c r="J96" s="1"/>
      <c r="K96" s="1"/>
      <c r="L96" s="4"/>
      <c r="M96" s="2"/>
      <c r="N96" s="2"/>
      <c r="O96" s="2"/>
      <c r="P96" s="2"/>
      <c r="Q96" s="2"/>
      <c r="R96" s="2"/>
      <c r="S96" s="2"/>
      <c r="T96" s="2"/>
      <c r="U96" s="2"/>
    </row>
    <row r="97" spans="1:21" s="15" customFormat="1" x14ac:dyDescent="0.25">
      <c r="A97" s="15">
        <v>5</v>
      </c>
      <c r="B97" s="16"/>
      <c r="C97" s="53"/>
      <c r="D97" s="16"/>
      <c r="E97" s="53"/>
      <c r="F97" s="53"/>
      <c r="G97" s="51"/>
      <c r="H97" s="65"/>
      <c r="I97" s="65"/>
      <c r="J97" s="51"/>
      <c r="K97" s="51"/>
      <c r="L97" s="73"/>
      <c r="M97" s="18"/>
      <c r="N97" s="18"/>
      <c r="O97" s="18"/>
      <c r="P97" s="18"/>
      <c r="Q97" s="18"/>
      <c r="R97" s="18"/>
      <c r="S97" s="18"/>
      <c r="T97" s="18"/>
      <c r="U97" s="18"/>
    </row>
    <row r="98" spans="1:21" s="8" customFormat="1" x14ac:dyDescent="0.25">
      <c r="B98" s="9" t="s">
        <v>225</v>
      </c>
      <c r="C98" s="6">
        <f>COUNTIF(C99:C103,"Yes")</f>
        <v>0</v>
      </c>
      <c r="D98" s="9"/>
      <c r="E98" s="6"/>
      <c r="F98" s="6"/>
      <c r="G98" s="5"/>
      <c r="H98" s="63"/>
      <c r="I98" s="63"/>
      <c r="J98" s="5"/>
      <c r="K98" s="5"/>
      <c r="L98" s="72"/>
      <c r="M98" s="11"/>
      <c r="N98" s="11"/>
      <c r="O98" s="11"/>
      <c r="P98" s="11"/>
      <c r="Q98" s="11"/>
      <c r="R98" s="11"/>
      <c r="S98" s="11"/>
      <c r="T98" s="11"/>
      <c r="U98" s="11"/>
    </row>
    <row r="99" spans="1:21" s="12" customFormat="1" x14ac:dyDescent="0.25">
      <c r="A99" s="12">
        <v>1</v>
      </c>
      <c r="B99" s="13"/>
      <c r="C99" s="52"/>
      <c r="D99" s="13"/>
      <c r="E99" s="52"/>
      <c r="F99" s="52"/>
      <c r="G99" s="1"/>
      <c r="H99" s="64"/>
      <c r="I99" s="64"/>
      <c r="J99" s="1"/>
      <c r="K99" s="1"/>
      <c r="L99" s="4"/>
      <c r="M99" s="2"/>
      <c r="N99" s="2"/>
      <c r="O99" s="2"/>
      <c r="P99" s="2"/>
      <c r="Q99" s="2"/>
      <c r="R99" s="2"/>
      <c r="S99" s="2"/>
      <c r="T99" s="2"/>
      <c r="U99" s="2"/>
    </row>
    <row r="100" spans="1:21" s="12" customFormat="1" x14ac:dyDescent="0.25">
      <c r="A100" s="12">
        <v>2</v>
      </c>
      <c r="B100" s="13"/>
      <c r="C100" s="52"/>
      <c r="D100" s="13"/>
      <c r="E100" s="52"/>
      <c r="F100" s="52"/>
      <c r="G100" s="1"/>
      <c r="H100" s="64"/>
      <c r="I100" s="64"/>
      <c r="J100" s="1"/>
      <c r="K100" s="1"/>
      <c r="L100" s="4"/>
      <c r="M100" s="2"/>
      <c r="N100" s="2"/>
      <c r="O100" s="2"/>
      <c r="P100" s="2"/>
      <c r="Q100" s="2"/>
      <c r="R100" s="2"/>
      <c r="S100" s="2"/>
      <c r="T100" s="2"/>
      <c r="U100" s="2"/>
    </row>
    <row r="101" spans="1:21" s="12" customFormat="1" x14ac:dyDescent="0.25">
      <c r="A101" s="12">
        <v>3</v>
      </c>
      <c r="B101" s="13"/>
      <c r="C101" s="52"/>
      <c r="D101" s="13"/>
      <c r="E101" s="52"/>
      <c r="F101" s="52"/>
      <c r="G101" s="1"/>
      <c r="H101" s="64"/>
      <c r="I101" s="64"/>
      <c r="J101" s="1"/>
      <c r="K101" s="1"/>
      <c r="L101" s="4"/>
      <c r="M101" s="2"/>
      <c r="N101" s="2"/>
      <c r="O101" s="2"/>
      <c r="P101" s="2"/>
      <c r="Q101" s="2"/>
      <c r="R101" s="2"/>
      <c r="S101" s="2"/>
      <c r="T101" s="2"/>
      <c r="U101" s="2"/>
    </row>
    <row r="102" spans="1:21" s="12" customFormat="1" x14ac:dyDescent="0.25">
      <c r="A102" s="12">
        <v>4</v>
      </c>
      <c r="B102" s="13"/>
      <c r="C102" s="52"/>
      <c r="D102" s="13"/>
      <c r="E102" s="52"/>
      <c r="F102" s="52"/>
      <c r="G102" s="1"/>
      <c r="H102" s="64"/>
      <c r="I102" s="64"/>
      <c r="J102" s="1"/>
      <c r="K102" s="1"/>
      <c r="L102" s="4"/>
      <c r="M102" s="2"/>
      <c r="N102" s="2"/>
      <c r="O102" s="2"/>
      <c r="P102" s="2"/>
      <c r="Q102" s="2"/>
      <c r="R102" s="2"/>
      <c r="S102" s="2"/>
      <c r="T102" s="2"/>
      <c r="U102" s="2"/>
    </row>
    <row r="103" spans="1:21" s="15" customFormat="1" x14ac:dyDescent="0.25">
      <c r="A103" s="15">
        <v>5</v>
      </c>
      <c r="B103" s="16"/>
      <c r="C103" s="53"/>
      <c r="D103" s="16"/>
      <c r="E103" s="53"/>
      <c r="F103" s="53"/>
      <c r="G103" s="51"/>
      <c r="H103" s="65"/>
      <c r="I103" s="65"/>
      <c r="J103" s="51"/>
      <c r="K103" s="51"/>
      <c r="L103" s="73"/>
      <c r="M103" s="18"/>
      <c r="N103" s="18"/>
      <c r="O103" s="18"/>
      <c r="P103" s="18"/>
      <c r="Q103" s="18"/>
      <c r="R103" s="18"/>
      <c r="S103" s="18"/>
      <c r="T103" s="18"/>
      <c r="U103" s="18"/>
    </row>
    <row r="104" spans="1:21" s="8" customFormat="1" x14ac:dyDescent="0.25">
      <c r="B104" s="9" t="s">
        <v>228</v>
      </c>
      <c r="C104" s="6">
        <f>COUNTIF(C105:C109,"Yes")</f>
        <v>0</v>
      </c>
      <c r="D104" s="9"/>
      <c r="E104" s="6"/>
      <c r="F104" s="6"/>
      <c r="G104" s="5"/>
      <c r="H104" s="63"/>
      <c r="I104" s="63"/>
      <c r="J104" s="5"/>
      <c r="K104" s="5"/>
      <c r="L104" s="72"/>
      <c r="M104" s="11"/>
      <c r="N104" s="11"/>
      <c r="O104" s="11"/>
      <c r="P104" s="11"/>
      <c r="Q104" s="11"/>
      <c r="R104" s="11"/>
      <c r="S104" s="11"/>
      <c r="T104" s="11"/>
      <c r="U104" s="11"/>
    </row>
    <row r="105" spans="1:21" s="12" customFormat="1" x14ac:dyDescent="0.25">
      <c r="A105" s="12">
        <v>1</v>
      </c>
      <c r="B105" s="13"/>
      <c r="C105" s="52"/>
      <c r="D105" s="13"/>
      <c r="E105" s="52"/>
      <c r="F105" s="52"/>
      <c r="G105" s="1"/>
      <c r="H105" s="64"/>
      <c r="I105" s="64"/>
      <c r="J105" s="1"/>
      <c r="K105" s="1"/>
      <c r="L105" s="4"/>
      <c r="M105" s="2"/>
      <c r="N105" s="2"/>
      <c r="O105" s="2"/>
      <c r="P105" s="2"/>
      <c r="Q105" s="2"/>
      <c r="R105" s="2"/>
      <c r="S105" s="2"/>
      <c r="T105" s="2"/>
      <c r="U105" s="2"/>
    </row>
    <row r="106" spans="1:21" s="12" customFormat="1" x14ac:dyDescent="0.25">
      <c r="A106" s="12">
        <v>2</v>
      </c>
      <c r="B106" s="13"/>
      <c r="C106" s="52"/>
      <c r="D106" s="13"/>
      <c r="E106" s="52"/>
      <c r="F106" s="52"/>
      <c r="G106" s="1"/>
      <c r="H106" s="64"/>
      <c r="I106" s="64"/>
      <c r="J106" s="1"/>
      <c r="K106" s="1"/>
      <c r="L106" s="4"/>
      <c r="M106" s="2"/>
      <c r="N106" s="2"/>
      <c r="O106" s="2"/>
      <c r="P106" s="2"/>
      <c r="Q106" s="2"/>
      <c r="R106" s="2"/>
      <c r="S106" s="2"/>
      <c r="T106" s="2"/>
      <c r="U106" s="2"/>
    </row>
    <row r="107" spans="1:21" s="12" customFormat="1" x14ac:dyDescent="0.25">
      <c r="A107" s="12">
        <v>3</v>
      </c>
      <c r="B107" s="13"/>
      <c r="C107" s="52"/>
      <c r="D107" s="13"/>
      <c r="E107" s="52"/>
      <c r="F107" s="52"/>
      <c r="G107" s="1"/>
      <c r="H107" s="64"/>
      <c r="I107" s="64"/>
      <c r="J107" s="1"/>
      <c r="K107" s="1"/>
      <c r="L107" s="4"/>
      <c r="M107" s="2"/>
      <c r="N107" s="2"/>
      <c r="O107" s="2"/>
      <c r="P107" s="2"/>
      <c r="Q107" s="2"/>
      <c r="R107" s="2"/>
      <c r="S107" s="2"/>
      <c r="T107" s="2"/>
      <c r="U107" s="2"/>
    </row>
    <row r="108" spans="1:21" s="12" customFormat="1" x14ac:dyDescent="0.25">
      <c r="A108" s="12">
        <v>4</v>
      </c>
      <c r="B108" s="13"/>
      <c r="C108" s="52"/>
      <c r="D108" s="13"/>
      <c r="E108" s="52"/>
      <c r="F108" s="52"/>
      <c r="G108" s="1"/>
      <c r="H108" s="64"/>
      <c r="I108" s="64"/>
      <c r="J108" s="1"/>
      <c r="K108" s="1"/>
      <c r="L108" s="4"/>
      <c r="M108" s="2"/>
      <c r="N108" s="2"/>
      <c r="O108" s="2"/>
      <c r="P108" s="2"/>
      <c r="Q108" s="2"/>
      <c r="R108" s="2"/>
      <c r="S108" s="2"/>
      <c r="T108" s="2"/>
      <c r="U108" s="2"/>
    </row>
    <row r="109" spans="1:21" s="15" customFormat="1" x14ac:dyDescent="0.25">
      <c r="A109" s="15">
        <v>5</v>
      </c>
      <c r="B109" s="16"/>
      <c r="C109" s="53"/>
      <c r="D109" s="16"/>
      <c r="E109" s="53"/>
      <c r="F109" s="53"/>
      <c r="G109" s="51"/>
      <c r="H109" s="65"/>
      <c r="I109" s="65"/>
      <c r="J109" s="51"/>
      <c r="K109" s="51"/>
      <c r="L109" s="73"/>
      <c r="M109" s="18"/>
      <c r="N109" s="18"/>
      <c r="O109" s="18"/>
      <c r="P109" s="18"/>
      <c r="Q109" s="18"/>
      <c r="R109" s="18"/>
      <c r="S109" s="18"/>
      <c r="T109" s="18"/>
      <c r="U109" s="18"/>
    </row>
    <row r="110" spans="1:21" s="8" customFormat="1" x14ac:dyDescent="0.25">
      <c r="B110" s="9" t="s">
        <v>229</v>
      </c>
      <c r="C110" s="6">
        <f>COUNTIF(C111:C115,"Yes")</f>
        <v>0</v>
      </c>
      <c r="D110" s="9"/>
      <c r="E110" s="6"/>
      <c r="F110" s="6"/>
      <c r="G110" s="5"/>
      <c r="H110" s="63"/>
      <c r="I110" s="63"/>
      <c r="J110" s="5"/>
      <c r="K110" s="5"/>
      <c r="L110" s="72"/>
      <c r="M110" s="11"/>
      <c r="N110" s="11"/>
      <c r="O110" s="11"/>
      <c r="P110" s="11"/>
      <c r="Q110" s="11"/>
      <c r="R110" s="11"/>
      <c r="S110" s="11"/>
      <c r="T110" s="11"/>
      <c r="U110" s="11"/>
    </row>
    <row r="111" spans="1:21" s="12" customFormat="1" x14ac:dyDescent="0.25">
      <c r="A111" s="12">
        <v>1</v>
      </c>
      <c r="B111" s="13"/>
      <c r="C111" s="52"/>
      <c r="D111" s="13"/>
      <c r="E111" s="52"/>
      <c r="F111" s="52"/>
      <c r="G111" s="1"/>
      <c r="H111" s="64"/>
      <c r="I111" s="64"/>
      <c r="J111" s="1"/>
      <c r="K111" s="1"/>
      <c r="L111" s="4"/>
      <c r="M111" s="2"/>
      <c r="N111" s="2"/>
      <c r="O111" s="2"/>
      <c r="P111" s="2"/>
      <c r="Q111" s="2"/>
      <c r="R111" s="2"/>
      <c r="S111" s="2"/>
      <c r="T111" s="2"/>
      <c r="U111" s="2"/>
    </row>
    <row r="112" spans="1:21" s="12" customFormat="1" x14ac:dyDescent="0.25">
      <c r="A112" s="12">
        <v>2</v>
      </c>
      <c r="B112" s="13"/>
      <c r="C112" s="52"/>
      <c r="D112" s="13"/>
      <c r="E112" s="52"/>
      <c r="F112" s="52"/>
      <c r="G112" s="1"/>
      <c r="H112" s="64"/>
      <c r="I112" s="64"/>
      <c r="J112" s="1"/>
      <c r="K112" s="1"/>
      <c r="L112" s="4"/>
      <c r="M112" s="2"/>
      <c r="N112" s="2"/>
      <c r="O112" s="2"/>
      <c r="P112" s="2"/>
      <c r="Q112" s="2"/>
      <c r="R112" s="2"/>
      <c r="S112" s="2"/>
      <c r="T112" s="2"/>
      <c r="U112" s="2"/>
    </row>
    <row r="113" spans="1:21" s="12" customFormat="1" x14ac:dyDescent="0.25">
      <c r="A113" s="12">
        <v>3</v>
      </c>
      <c r="B113" s="13"/>
      <c r="C113" s="52"/>
      <c r="D113" s="13"/>
      <c r="E113" s="52"/>
      <c r="F113" s="52"/>
      <c r="G113" s="1"/>
      <c r="H113" s="64"/>
      <c r="I113" s="64"/>
      <c r="J113" s="1"/>
      <c r="K113" s="1"/>
      <c r="L113" s="4"/>
      <c r="M113" s="2"/>
      <c r="N113" s="2"/>
      <c r="O113" s="2"/>
      <c r="P113" s="2"/>
      <c r="Q113" s="2"/>
      <c r="R113" s="2"/>
      <c r="S113" s="2"/>
      <c r="T113" s="2"/>
      <c r="U113" s="2"/>
    </row>
    <row r="114" spans="1:21" s="12" customFormat="1" x14ac:dyDescent="0.25">
      <c r="A114" s="12">
        <v>4</v>
      </c>
      <c r="B114" s="13"/>
      <c r="C114" s="52"/>
      <c r="D114" s="13"/>
      <c r="E114" s="52"/>
      <c r="F114" s="52"/>
      <c r="G114" s="1"/>
      <c r="H114" s="64"/>
      <c r="I114" s="64"/>
      <c r="J114" s="1"/>
      <c r="K114" s="1"/>
      <c r="L114" s="4"/>
      <c r="M114" s="2"/>
      <c r="N114" s="2"/>
      <c r="O114" s="2"/>
      <c r="P114" s="2"/>
      <c r="Q114" s="2"/>
      <c r="R114" s="2"/>
      <c r="S114" s="2"/>
      <c r="T114" s="2"/>
      <c r="U114" s="2"/>
    </row>
    <row r="115" spans="1:21" s="15" customFormat="1" x14ac:dyDescent="0.25">
      <c r="A115" s="15">
        <v>5</v>
      </c>
      <c r="B115" s="16"/>
      <c r="C115" s="53"/>
      <c r="D115" s="16"/>
      <c r="E115" s="53"/>
      <c r="F115" s="53"/>
      <c r="G115" s="51"/>
      <c r="H115" s="65"/>
      <c r="I115" s="65"/>
      <c r="J115" s="51"/>
      <c r="K115" s="51"/>
      <c r="L115" s="73"/>
      <c r="M115" s="18"/>
      <c r="N115" s="18"/>
      <c r="O115" s="18"/>
      <c r="P115" s="18"/>
      <c r="Q115" s="18"/>
      <c r="R115" s="18"/>
      <c r="S115" s="18"/>
      <c r="T115" s="18"/>
      <c r="U115" s="18"/>
    </row>
    <row r="116" spans="1:21" s="8" customFormat="1" x14ac:dyDescent="0.25">
      <c r="B116" s="9" t="s">
        <v>230</v>
      </c>
      <c r="C116" s="6">
        <f>COUNTIF(C117:C121,"Yes")</f>
        <v>0</v>
      </c>
      <c r="D116" s="9"/>
      <c r="E116" s="6"/>
      <c r="F116" s="6"/>
      <c r="G116" s="5"/>
      <c r="H116" s="63"/>
      <c r="I116" s="63"/>
      <c r="J116" s="5"/>
      <c r="K116" s="5"/>
      <c r="L116" s="72"/>
      <c r="M116" s="11"/>
      <c r="N116" s="11"/>
      <c r="O116" s="11"/>
      <c r="P116" s="11"/>
      <c r="Q116" s="11"/>
      <c r="R116" s="11"/>
      <c r="S116" s="11"/>
      <c r="T116" s="11"/>
      <c r="U116" s="11"/>
    </row>
    <row r="117" spans="1:21" s="12" customFormat="1" x14ac:dyDescent="0.25">
      <c r="A117" s="12">
        <v>1</v>
      </c>
      <c r="B117" s="13"/>
      <c r="C117" s="52"/>
      <c r="D117" s="13"/>
      <c r="E117" s="52"/>
      <c r="F117" s="52"/>
      <c r="G117" s="1"/>
      <c r="H117" s="64"/>
      <c r="I117" s="64"/>
      <c r="J117" s="1"/>
      <c r="K117" s="1"/>
      <c r="L117" s="4"/>
      <c r="M117" s="2"/>
      <c r="N117" s="2"/>
      <c r="O117" s="2"/>
      <c r="P117" s="2"/>
      <c r="Q117" s="2"/>
      <c r="R117" s="2"/>
      <c r="S117" s="2"/>
      <c r="T117" s="2"/>
      <c r="U117" s="2"/>
    </row>
    <row r="118" spans="1:21" s="12" customFormat="1" x14ac:dyDescent="0.25">
      <c r="A118" s="12">
        <v>2</v>
      </c>
      <c r="B118" s="13"/>
      <c r="C118" s="52"/>
      <c r="D118" s="13"/>
      <c r="E118" s="52"/>
      <c r="F118" s="52"/>
      <c r="G118" s="1"/>
      <c r="H118" s="64"/>
      <c r="I118" s="64"/>
      <c r="J118" s="1"/>
      <c r="K118" s="1"/>
      <c r="L118" s="4"/>
      <c r="M118" s="2"/>
      <c r="N118" s="2"/>
      <c r="O118" s="2"/>
      <c r="P118" s="2"/>
      <c r="Q118" s="2"/>
      <c r="R118" s="2"/>
      <c r="S118" s="2"/>
      <c r="T118" s="2"/>
      <c r="U118" s="2"/>
    </row>
    <row r="119" spans="1:21" s="12" customFormat="1" x14ac:dyDescent="0.25">
      <c r="A119" s="12">
        <v>3</v>
      </c>
      <c r="B119" s="13"/>
      <c r="C119" s="52"/>
      <c r="D119" s="13"/>
      <c r="E119" s="52"/>
      <c r="F119" s="52"/>
      <c r="G119" s="1"/>
      <c r="H119" s="64"/>
      <c r="I119" s="64"/>
      <c r="J119" s="1"/>
      <c r="K119" s="1"/>
      <c r="L119" s="4"/>
      <c r="M119" s="2"/>
      <c r="N119" s="2"/>
      <c r="O119" s="2"/>
      <c r="P119" s="2"/>
      <c r="Q119" s="2"/>
      <c r="R119" s="2"/>
      <c r="S119" s="2"/>
      <c r="T119" s="2"/>
      <c r="U119" s="2"/>
    </row>
    <row r="120" spans="1:21" s="12" customFormat="1" x14ac:dyDescent="0.25">
      <c r="A120" s="12">
        <v>4</v>
      </c>
      <c r="B120" s="13"/>
      <c r="C120" s="52"/>
      <c r="D120" s="13"/>
      <c r="E120" s="52"/>
      <c r="F120" s="52"/>
      <c r="G120" s="1"/>
      <c r="H120" s="64"/>
      <c r="I120" s="64"/>
      <c r="J120" s="1"/>
      <c r="K120" s="1"/>
      <c r="L120" s="4"/>
      <c r="M120" s="2"/>
      <c r="N120" s="2"/>
      <c r="O120" s="2"/>
      <c r="P120" s="2"/>
      <c r="Q120" s="2"/>
      <c r="R120" s="2"/>
      <c r="S120" s="2"/>
      <c r="T120" s="2"/>
      <c r="U120" s="2"/>
    </row>
    <row r="121" spans="1:21" s="15" customFormat="1" x14ac:dyDescent="0.25">
      <c r="A121" s="15">
        <v>5</v>
      </c>
      <c r="B121" s="16"/>
      <c r="C121" s="53"/>
      <c r="D121" s="16"/>
      <c r="E121" s="53"/>
      <c r="F121" s="53"/>
      <c r="G121" s="51"/>
      <c r="H121" s="65"/>
      <c r="I121" s="65"/>
      <c r="J121" s="51"/>
      <c r="K121" s="51"/>
      <c r="L121" s="73"/>
      <c r="M121" s="18"/>
      <c r="N121" s="18"/>
      <c r="O121" s="18"/>
      <c r="P121" s="18"/>
      <c r="Q121" s="18"/>
      <c r="R121" s="18"/>
      <c r="S121" s="18"/>
      <c r="T121" s="18"/>
      <c r="U121" s="18"/>
    </row>
    <row r="122" spans="1:21" s="43" customFormat="1" x14ac:dyDescent="0.25">
      <c r="A122" s="8"/>
      <c r="B122" s="42" t="s">
        <v>231</v>
      </c>
      <c r="C122" s="54">
        <f>COUNTIF(C123:C127,"Yes")</f>
        <v>2</v>
      </c>
      <c r="D122" s="42"/>
      <c r="E122" s="54"/>
      <c r="F122" s="54"/>
      <c r="G122" s="5"/>
      <c r="H122" s="63"/>
      <c r="I122" s="63"/>
      <c r="J122" s="69"/>
      <c r="K122" s="69"/>
      <c r="L122" s="77"/>
      <c r="M122" s="44"/>
      <c r="N122" s="44"/>
      <c r="O122" s="44"/>
      <c r="P122" s="44"/>
      <c r="Q122" s="44"/>
      <c r="R122" s="44"/>
      <c r="S122" s="44"/>
      <c r="T122" s="44"/>
      <c r="U122" s="44"/>
    </row>
    <row r="123" spans="1:21" s="46" customFormat="1" x14ac:dyDescent="0.25">
      <c r="A123" s="12">
        <v>1</v>
      </c>
      <c r="B123" s="45"/>
      <c r="C123" s="55" t="s">
        <v>581</v>
      </c>
      <c r="D123" s="45" t="s">
        <v>581</v>
      </c>
      <c r="E123" s="55" t="s">
        <v>581</v>
      </c>
      <c r="F123" s="55" t="s">
        <v>581</v>
      </c>
      <c r="G123" s="1"/>
      <c r="H123" s="160"/>
      <c r="I123" s="64"/>
      <c r="J123" s="161"/>
      <c r="K123" s="70"/>
      <c r="L123" s="78"/>
      <c r="M123" s="47"/>
      <c r="N123" s="47"/>
      <c r="O123" s="47"/>
      <c r="P123" s="47"/>
      <c r="Q123" s="47"/>
      <c r="R123" s="47"/>
      <c r="S123" s="47"/>
      <c r="T123" s="47"/>
      <c r="U123" s="47"/>
    </row>
    <row r="124" spans="1:21" s="46" customFormat="1" x14ac:dyDescent="0.25">
      <c r="A124" s="12">
        <v>2</v>
      </c>
      <c r="B124" s="45"/>
      <c r="C124" s="55" t="s">
        <v>581</v>
      </c>
      <c r="D124" s="45" t="s">
        <v>581</v>
      </c>
      <c r="E124" s="55" t="s">
        <v>581</v>
      </c>
      <c r="F124" s="55" t="s">
        <v>581</v>
      </c>
      <c r="G124" s="1"/>
      <c r="H124" s="64"/>
      <c r="I124" s="64"/>
      <c r="J124" s="162"/>
      <c r="K124" s="70"/>
      <c r="L124" s="78"/>
      <c r="M124" s="47"/>
      <c r="N124" s="47"/>
      <c r="O124" s="47"/>
      <c r="P124" s="47"/>
      <c r="Q124" s="47"/>
      <c r="R124" s="47"/>
      <c r="S124" s="47"/>
      <c r="T124" s="47"/>
      <c r="U124" s="47"/>
    </row>
    <row r="125" spans="1:21" s="46" customFormat="1" x14ac:dyDescent="0.25">
      <c r="A125" s="12">
        <v>3</v>
      </c>
      <c r="B125" s="45"/>
      <c r="C125" s="55"/>
      <c r="D125" s="45"/>
      <c r="E125" s="55"/>
      <c r="F125" s="55"/>
      <c r="G125" s="1"/>
      <c r="H125" s="64"/>
      <c r="I125" s="64"/>
      <c r="J125" s="70"/>
      <c r="K125" s="70"/>
      <c r="L125" s="78"/>
      <c r="M125" s="47"/>
      <c r="N125" s="47"/>
      <c r="O125" s="47"/>
      <c r="P125" s="47"/>
      <c r="Q125" s="47"/>
      <c r="R125" s="47"/>
      <c r="S125" s="47"/>
      <c r="T125" s="47"/>
      <c r="U125" s="47"/>
    </row>
    <row r="126" spans="1:21" s="46" customFormat="1" x14ac:dyDescent="0.25">
      <c r="A126" s="12">
        <v>4</v>
      </c>
      <c r="B126" s="45"/>
      <c r="C126" s="55"/>
      <c r="D126" s="45"/>
      <c r="E126" s="55"/>
      <c r="F126" s="55"/>
      <c r="G126" s="1"/>
      <c r="H126" s="64"/>
      <c r="I126" s="64"/>
      <c r="J126" s="70"/>
      <c r="K126" s="70"/>
      <c r="L126" s="78"/>
      <c r="M126" s="47"/>
      <c r="N126" s="47"/>
      <c r="O126" s="47"/>
      <c r="P126" s="47"/>
      <c r="Q126" s="47"/>
      <c r="R126" s="47"/>
      <c r="S126" s="47"/>
      <c r="T126" s="47"/>
      <c r="U126" s="47"/>
    </row>
    <row r="127" spans="1:21" s="49" customFormat="1" x14ac:dyDescent="0.25">
      <c r="A127" s="15">
        <v>5</v>
      </c>
      <c r="B127" s="48"/>
      <c r="C127" s="56"/>
      <c r="D127" s="48"/>
      <c r="E127" s="56"/>
      <c r="F127" s="56"/>
      <c r="G127" s="51"/>
      <c r="H127" s="65"/>
      <c r="I127" s="65"/>
      <c r="J127" s="71"/>
      <c r="K127" s="71"/>
      <c r="L127" s="79"/>
      <c r="M127" s="50"/>
      <c r="N127" s="50"/>
      <c r="O127" s="50"/>
      <c r="P127" s="50"/>
      <c r="Q127" s="50"/>
      <c r="R127" s="50"/>
      <c r="S127" s="50"/>
      <c r="T127" s="50"/>
      <c r="U127" s="50"/>
    </row>
    <row r="128" spans="1:21" s="43" customFormat="1" x14ac:dyDescent="0.25">
      <c r="B128" s="42" t="s">
        <v>234</v>
      </c>
      <c r="C128" s="54">
        <f>COUNTIF(C129:C133,"Yes")</f>
        <v>0</v>
      </c>
      <c r="D128" s="42"/>
      <c r="E128" s="54"/>
      <c r="F128" s="54"/>
      <c r="G128" s="5"/>
      <c r="H128" s="63"/>
      <c r="I128" s="63"/>
      <c r="J128" s="69"/>
      <c r="K128" s="69"/>
      <c r="L128" s="77"/>
      <c r="M128" s="44"/>
      <c r="N128" s="44"/>
      <c r="O128" s="44"/>
      <c r="P128" s="44"/>
      <c r="Q128" s="44"/>
      <c r="R128" s="44"/>
      <c r="S128" s="44"/>
      <c r="T128" s="44"/>
      <c r="U128" s="44"/>
    </row>
    <row r="129" spans="1:21" s="12" customFormat="1" x14ac:dyDescent="0.25">
      <c r="A129" s="12">
        <v>1</v>
      </c>
      <c r="C129" s="1"/>
      <c r="E129" s="1"/>
      <c r="F129" s="1"/>
      <c r="G129" s="1"/>
      <c r="H129" s="1"/>
      <c r="I129" s="1"/>
      <c r="J129" s="1"/>
      <c r="K129" s="1"/>
      <c r="L129" s="4"/>
      <c r="M129" s="2"/>
      <c r="N129" s="2"/>
      <c r="O129" s="2"/>
      <c r="P129" s="2"/>
      <c r="Q129" s="2"/>
      <c r="R129" s="2"/>
      <c r="S129" s="2"/>
      <c r="T129" s="2"/>
      <c r="U129" s="2"/>
    </row>
    <row r="130" spans="1:21" s="12" customFormat="1" x14ac:dyDescent="0.25">
      <c r="A130" s="12">
        <v>2</v>
      </c>
      <c r="C130" s="1"/>
      <c r="E130" s="1"/>
      <c r="F130" s="1"/>
      <c r="G130" s="1"/>
      <c r="H130" s="1"/>
      <c r="I130" s="1"/>
      <c r="J130" s="1"/>
      <c r="K130" s="1"/>
      <c r="L130" s="4"/>
      <c r="M130" s="2"/>
      <c r="N130" s="2"/>
      <c r="O130" s="2"/>
      <c r="P130" s="2"/>
      <c r="Q130" s="2"/>
      <c r="R130" s="2"/>
      <c r="S130" s="2"/>
      <c r="T130" s="2"/>
      <c r="U130" s="2"/>
    </row>
    <row r="131" spans="1:21" s="12" customFormat="1" x14ac:dyDescent="0.25">
      <c r="A131" s="12">
        <v>3</v>
      </c>
      <c r="C131" s="1"/>
      <c r="E131" s="1"/>
      <c r="F131" s="1"/>
      <c r="G131" s="1"/>
      <c r="H131" s="1"/>
      <c r="I131" s="1"/>
      <c r="J131" s="1"/>
      <c r="K131" s="1"/>
      <c r="L131" s="4"/>
      <c r="M131" s="2"/>
      <c r="N131" s="2"/>
      <c r="O131" s="2"/>
      <c r="P131" s="2"/>
      <c r="Q131" s="2"/>
      <c r="R131" s="2"/>
      <c r="S131" s="2"/>
      <c r="T131" s="2"/>
      <c r="U131" s="2"/>
    </row>
    <row r="132" spans="1:21" s="12" customFormat="1" x14ac:dyDescent="0.25">
      <c r="A132" s="12">
        <v>4</v>
      </c>
      <c r="C132" s="1"/>
      <c r="E132" s="1"/>
      <c r="F132" s="1"/>
      <c r="G132" s="1"/>
      <c r="H132" s="1"/>
      <c r="I132" s="1"/>
      <c r="J132" s="1"/>
      <c r="K132" s="1"/>
      <c r="L132" s="4"/>
      <c r="M132" s="2"/>
      <c r="N132" s="2"/>
      <c r="O132" s="2"/>
      <c r="P132" s="2"/>
      <c r="Q132" s="2"/>
      <c r="R132" s="2"/>
      <c r="S132" s="2"/>
      <c r="T132" s="2"/>
      <c r="U132" s="2"/>
    </row>
    <row r="133" spans="1:21" s="12" customFormat="1" ht="15.75" thickBot="1" x14ac:dyDescent="0.3">
      <c r="A133" s="12">
        <v>5</v>
      </c>
      <c r="C133" s="57"/>
      <c r="D133" s="81"/>
      <c r="E133" s="57"/>
      <c r="F133" s="57"/>
      <c r="G133" s="57"/>
      <c r="H133" s="57"/>
      <c r="I133" s="57"/>
      <c r="J133" s="57"/>
      <c r="K133" s="57"/>
      <c r="L133" s="4"/>
      <c r="M133" s="2"/>
      <c r="N133" s="2"/>
      <c r="O133" s="2"/>
      <c r="P133" s="2"/>
      <c r="Q133" s="2"/>
      <c r="R133" s="2"/>
      <c r="S133" s="2"/>
      <c r="T133" s="2"/>
      <c r="U133" s="2"/>
    </row>
  </sheetData>
  <conditionalFormatting sqref="C3:C7 C9:C13 C15:C19 C21:C25 C27:C31 C33:C37 C39:C43 C45:C49 C51:C55 C57:C61 C63:C79 C81:C85 C87:C91 C93:C97 C99:C109 C111:C115 C117:C121 C123:C127 C129:C133">
    <cfRule type="cellIs" dxfId="4" priority="1" operator="equal">
      <formula>"Yes"</formula>
    </cfRule>
  </conditionalFormatting>
  <conditionalFormatting sqref="C9:C13 C15:C19 C21:C25 C27:C31 C33:C37 C39:C43 C45:C49 C51:C55 C57:C61 C63:C79 C81:C85 C87:C91 C93:C97 C99:C109 C111:C115 C117:C121 C123:C127 C129:C133">
    <cfRule type="cellIs" dxfId="3" priority="3" operator="equal">
      <formula>"No"</formula>
    </cfRule>
  </conditionalFormatting>
  <conditionalFormatting sqref="D3:F133">
    <cfRule type="cellIs" dxfId="2" priority="4" operator="equal">
      <formula>"Yes"</formula>
    </cfRule>
    <cfRule type="cellIs" dxfId="1" priority="5" operator="equal">
      <formula>"No"</formula>
    </cfRule>
  </conditionalFormatting>
  <conditionalFormatting sqref="E3:E133">
    <cfRule type="cellIs" dxfId="0" priority="6" operator="equal">
      <formula>"Voicemail"</formula>
    </cfRule>
  </conditionalFormatting>
  <dataValidations count="3">
    <dataValidation type="list" allowBlank="1" showInputMessage="1" showErrorMessage="1" sqref="D129:D133 D123:D127 F123:F127 F129:F133 F117:F121 D117:D121 F111:F115 D111:D115 D105:D109 F105:F109 D99:D103 D93:D97 D87:D91 F81:F85 D81:D85 F75:F79 D75:D79 F87:F91 F93:F97 F99:F103 D69:D73 F69:F73 F63:F67 D63:D67 F57:F61 D57:D61 F51:F55 D51:D55 F45:F49 D45:D49 F39:F43 D39:D43 F33:F37 D33:D37 F27:F31 D27:D31 F21:F25 D21:D25 F15:F19 D15:D19 F9:F13 D9:D13 F3:F7 D3:D7" xr:uid="{1AE44EFC-ED55-48A4-9E07-E66C161808E9}">
      <formula1>"Yes,No,Other"</formula1>
    </dataValidation>
    <dataValidation type="list" allowBlank="1" showInputMessage="1" showErrorMessage="1" sqref="E3:E133" xr:uid="{2336E73F-0A5B-4F65-98ED-8B3CF9651CE2}">
      <formula1>"Yes, No, Voicemail"</formula1>
    </dataValidation>
    <dataValidation type="list" allowBlank="1" showInputMessage="1" showErrorMessage="1" sqref="C3:C7 C9:C13 C15:C19 C21:C25 C27:C31 C33:C37 C39:C43 C45:C49 C51:C55 C57:C61 C63:C67 C69:C73 C75:C79 C81:C85 C87:C91 C93:C97 C99:C103 C105:C109 C111:C115 C117:C121 C123:C127 C129:C133" xr:uid="{64F5EDB5-814C-4CEE-9BCF-4CDB434FD36F}">
      <formula1>"Yes, No"</formula1>
    </dataValidation>
  </dataValidations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0e2240a2-1676-4925-b7b6-c3db279007d8">
      <Terms xmlns="http://schemas.microsoft.com/office/infopath/2007/PartnerControls"/>
    </lcf76f155ced4ddcb4097134ff3c332f>
    <TaxCatchAll xmlns="32f47748-3166-466c-8ce3-fa1971e2d151" xsi:nil="true"/>
    <SetUpInterview xmlns="0e2240a2-1676-4925-b7b6-c3db279007d8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F7AE51F9A315D44BA839E31A8F02625" ma:contentTypeVersion="13" ma:contentTypeDescription="Create a new document." ma:contentTypeScope="" ma:versionID="b2d173fa4a35c3aa1f9244790a337fc8">
  <xsd:schema xmlns:xsd="http://www.w3.org/2001/XMLSchema" xmlns:xs="http://www.w3.org/2001/XMLSchema" xmlns:p="http://schemas.microsoft.com/office/2006/metadata/properties" xmlns:ns2="0e2240a2-1676-4925-b7b6-c3db279007d8" xmlns:ns3="32f47748-3166-466c-8ce3-fa1971e2d151" targetNamespace="http://schemas.microsoft.com/office/2006/metadata/properties" ma:root="true" ma:fieldsID="6fac8066c2672fe3108b11926c274985" ns2:_="" ns3:_="">
    <xsd:import namespace="0e2240a2-1676-4925-b7b6-c3db279007d8"/>
    <xsd:import namespace="32f47748-3166-466c-8ce3-fa1971e2d15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SetUpInterview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e2240a2-1676-4925-b7b6-c3db279007d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5" nillable="true" ma:displayName="Location" ma:description="" ma:indexed="true" ma:internalName="MediaServiceLocation" ma:readOnly="true">
      <xsd:simpleType>
        <xsd:restriction base="dms:Text"/>
      </xsd:simpleType>
    </xsd:element>
    <xsd:element name="lcf76f155ced4ddcb4097134ff3c332f" ma:index="17" nillable="true" ma:taxonomy="true" ma:internalName="lcf76f155ced4ddcb4097134ff3c332f" ma:taxonomyFieldName="MediaServiceImageTags" ma:displayName="Image Tags" ma:readOnly="false" ma:fieldId="{5cf76f15-5ced-4ddc-b409-7134ff3c332f}" ma:taxonomyMulti="true" ma:sspId="9e59972e-8577-42ad-bf39-0d70ee39dc39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SetUpInterview" ma:index="20" nillable="true" ma:displayName="Set Up Interview" ma:format="Dropdown" ma:internalName="SetUpInterview">
      <xsd:simpleType>
        <xsd:restriction base="dms:Text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2f47748-3166-466c-8ce3-fa1971e2d151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e6e4e821-58af-4a92-99fd-8a4ba7cee6e9}" ma:internalName="TaxCatchAll" ma:showField="CatchAllData" ma:web="32f47748-3166-466c-8ce3-fa1971e2d15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D5D3903C-9F31-4D31-BB20-6532447DF7CD}">
  <ds:schemaRefs>
    <ds:schemaRef ds:uri="http://schemas.microsoft.com/office/2006/metadata/properties"/>
    <ds:schemaRef ds:uri="http://schemas.microsoft.com/office/infopath/2007/PartnerControls"/>
    <ds:schemaRef ds:uri="9f2a3105-1362-4b24-b893-67ccd640ee26"/>
    <ds:schemaRef ds:uri="29a7cee1-88b4-432e-b9e8-e5bb70eef8f6"/>
    <ds:schemaRef ds:uri="0e2240a2-1676-4925-b7b6-c3db279007d8"/>
    <ds:schemaRef ds:uri="32f47748-3166-466c-8ce3-fa1971e2d151"/>
  </ds:schemaRefs>
</ds:datastoreItem>
</file>

<file path=customXml/itemProps2.xml><?xml version="1.0" encoding="utf-8"?>
<ds:datastoreItem xmlns:ds="http://schemas.openxmlformats.org/officeDocument/2006/customXml" ds:itemID="{36BE2AF9-DA0D-44C5-AD27-BBF3EF16083B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A8DFBD31-EA14-4625-9C69-9ABC525EEBCB}"/>
</file>

<file path=docMetadata/LabelInfo.xml><?xml version="1.0" encoding="utf-8"?>
<clbl:labelList xmlns:clbl="http://schemas.microsoft.com/office/2020/mipLabelMetadata">
  <clbl:label id="{f03b3f5a-1180-4efd-b918-4879238d162d}" enabled="1" method="Standard" siteId="{8207271b-a956-4e69-a280-088d16fcf423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Summary</vt:lpstr>
      <vt:lpstr>General Conditions</vt:lpstr>
      <vt:lpstr>Details</vt:lpstr>
      <vt:lpstr>SubList</vt:lpstr>
      <vt:lpstr>Summary!Print_Area</vt:lpstr>
      <vt:lpstr>Summary!Print_Titles</vt:lpstr>
    </vt:vector>
  </TitlesOfParts>
  <Manager/>
  <Company>Microsoft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Brandon Clymer</dc:creator>
  <cp:keywords/>
  <dc:description/>
  <cp:lastModifiedBy>Brandon Clymer</cp:lastModifiedBy>
  <cp:revision/>
  <cp:lastPrinted>2025-06-09T19:14:43Z</cp:lastPrinted>
  <dcterms:created xsi:type="dcterms:W3CDTF">2013-09-25T13:18:07Z</dcterms:created>
  <dcterms:modified xsi:type="dcterms:W3CDTF">2026-04-29T19:50:30Z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0x010100CF7AE51F9A315D44BA839E31A8F02625</vt:lpwstr>
  </property>
  <property fmtid="{D5CDD505-2E9C-101B-9397-08002B2CF9AE}" pid="3" name="Order">
    <vt:r8>6137600</vt:r8>
  </property>
  <property fmtid="{D5CDD505-2E9C-101B-9397-08002B2CF9AE}" pid="4" name="ComplianceAssetId">
    <vt:lpwstr/>
  </property>
  <property fmtid="{D5CDD505-2E9C-101B-9397-08002B2CF9AE}" pid="5" name="_ExtendedDescription">
    <vt:lpwstr/>
  </property>
  <property fmtid="{D5CDD505-2E9C-101B-9397-08002B2CF9AE}" pid="6" name="TriggerFlowInfo">
    <vt:lpwstr/>
  </property>
  <property fmtid="{D5CDD505-2E9C-101B-9397-08002B2CF9AE}" pid="7" name="MediaServiceImageTags">
    <vt:lpwstr/>
  </property>
  <property fmtid="{D5CDD505-2E9C-101B-9397-08002B2CF9AE}" pid="8" name="_SourceUrl">
    <vt:lpwstr/>
  </property>
  <property fmtid="{D5CDD505-2E9C-101B-9397-08002B2CF9AE}" pid="9" name="_SharedFileIndex">
    <vt:lpwstr/>
  </property>
</Properties>
</file>