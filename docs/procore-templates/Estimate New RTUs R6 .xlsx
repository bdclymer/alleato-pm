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nden Rusin\OneDrive - Alleato Group\2025 Jobs\25- 127 - Ulta Beauty (Fresno, CA)\04 - Estimate\"/>
    </mc:Choice>
  </mc:AlternateContent>
  <xr:revisionPtr revIDLastSave="0" documentId="13_ncr:1_{FFF90243-563C-493D-9493-878F084320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timate" sheetId="6" r:id="rId1"/>
    <sheet name="General Conditions" sheetId="7" r:id="rId2"/>
    <sheet name="QuantityTakeoff" sheetId="8" r:id="rId3"/>
  </sheets>
  <definedNames>
    <definedName name="_xlnm.Print_Area" localSheetId="0">Estimate!$A$1:$D$141</definedName>
    <definedName name="_xlnm.Print_Area" localSheetId="2">QuantityTakeoff!$A$1:$Z$147</definedName>
    <definedName name="_xlnm.Print_Titles" localSheetId="0">Estimate!$1:$8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0" i="6" l="1"/>
  <c r="B83" i="6"/>
  <c r="B77" i="6"/>
  <c r="W84" i="8"/>
  <c r="W137" i="8"/>
  <c r="W141" i="8" s="1"/>
  <c r="A90" i="8"/>
  <c r="W94" i="8"/>
  <c r="V89" i="8"/>
  <c r="N89" i="8"/>
  <c r="P89" i="8"/>
  <c r="K89" i="8"/>
  <c r="W89" i="8"/>
  <c r="V84" i="8"/>
  <c r="N84" i="8"/>
  <c r="P84" i="8"/>
  <c r="K84" i="8"/>
  <c r="V38" i="8"/>
  <c r="N38" i="8"/>
  <c r="P38" i="8"/>
  <c r="K38" i="8"/>
  <c r="W3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1" i="8"/>
  <c r="K91" i="8"/>
  <c r="N91" i="8"/>
  <c r="P91" i="8"/>
  <c r="V91" i="8"/>
  <c r="C19" i="7"/>
  <c r="U62" i="8"/>
  <c r="W91" i="8"/>
  <c r="K85" i="8"/>
  <c r="N85" i="8"/>
  <c r="P85" i="8"/>
  <c r="T85" i="8"/>
  <c r="V85" i="8"/>
  <c r="V90" i="8"/>
  <c r="K90" i="8"/>
  <c r="N90" i="8"/>
  <c r="P90" i="8"/>
  <c r="V87" i="8"/>
  <c r="T87" i="8"/>
  <c r="N87" i="8"/>
  <c r="P87" i="8"/>
  <c r="K87" i="8"/>
  <c r="W87" i="8"/>
  <c r="V88" i="8"/>
  <c r="T88" i="8"/>
  <c r="N88" i="8"/>
  <c r="P88" i="8"/>
  <c r="K88" i="8"/>
  <c r="V92" i="8"/>
  <c r="T92" i="8"/>
  <c r="N92" i="8"/>
  <c r="P92" i="8"/>
  <c r="K92" i="8"/>
  <c r="W92" i="8"/>
  <c r="V82" i="8"/>
  <c r="T82" i="8"/>
  <c r="N82" i="8"/>
  <c r="P82" i="8"/>
  <c r="K82" i="8"/>
  <c r="W82" i="8"/>
  <c r="V83" i="8"/>
  <c r="T83" i="8"/>
  <c r="N83" i="8"/>
  <c r="P83" i="8"/>
  <c r="K83" i="8"/>
  <c r="T84" i="8"/>
  <c r="V86" i="8"/>
  <c r="T86" i="8"/>
  <c r="N86" i="8"/>
  <c r="P86" i="8"/>
  <c r="K86" i="8"/>
  <c r="W86" i="8"/>
  <c r="V23" i="8"/>
  <c r="T23" i="8"/>
  <c r="N23" i="8"/>
  <c r="P23" i="8"/>
  <c r="K23" i="8"/>
  <c r="V24" i="8"/>
  <c r="T24" i="8"/>
  <c r="N24" i="8"/>
  <c r="P24" i="8"/>
  <c r="K24" i="8"/>
  <c r="W24" i="8"/>
  <c r="V25" i="8"/>
  <c r="T25" i="8"/>
  <c r="N25" i="8"/>
  <c r="P25" i="8"/>
  <c r="K25" i="8"/>
  <c r="V26" i="8"/>
  <c r="T26" i="8"/>
  <c r="N26" i="8"/>
  <c r="P26" i="8"/>
  <c r="K26" i="8"/>
  <c r="W26" i="8"/>
  <c r="V27" i="8"/>
  <c r="T27" i="8"/>
  <c r="N27" i="8"/>
  <c r="P27" i="8"/>
  <c r="K27" i="8"/>
  <c r="V28" i="8"/>
  <c r="T28" i="8"/>
  <c r="N28" i="8"/>
  <c r="P28" i="8"/>
  <c r="K28" i="8"/>
  <c r="V29" i="8"/>
  <c r="T29" i="8"/>
  <c r="N29" i="8"/>
  <c r="P29" i="8"/>
  <c r="K29" i="8"/>
  <c r="V30" i="8"/>
  <c r="T30" i="8"/>
  <c r="N30" i="8"/>
  <c r="P30" i="8"/>
  <c r="K30" i="8"/>
  <c r="V31" i="8"/>
  <c r="T31" i="8"/>
  <c r="N31" i="8"/>
  <c r="P31" i="8"/>
  <c r="K31" i="8"/>
  <c r="V32" i="8"/>
  <c r="T32" i="8"/>
  <c r="N32" i="8"/>
  <c r="P32" i="8"/>
  <c r="K32" i="8"/>
  <c r="V33" i="8"/>
  <c r="T33" i="8"/>
  <c r="N33" i="8"/>
  <c r="P33" i="8"/>
  <c r="K33" i="8"/>
  <c r="W33" i="8"/>
  <c r="V34" i="8"/>
  <c r="T34" i="8"/>
  <c r="N34" i="8"/>
  <c r="P34" i="8"/>
  <c r="K34" i="8"/>
  <c r="V35" i="8"/>
  <c r="T35" i="8"/>
  <c r="N35" i="8"/>
  <c r="P35" i="8"/>
  <c r="K35" i="8"/>
  <c r="W35" i="8"/>
  <c r="V36" i="8"/>
  <c r="T36" i="8"/>
  <c r="N36" i="8"/>
  <c r="P36" i="8"/>
  <c r="K36" i="8"/>
  <c r="V37" i="8"/>
  <c r="T37" i="8"/>
  <c r="N37" i="8"/>
  <c r="P37" i="8"/>
  <c r="K37" i="8"/>
  <c r="W37" i="8"/>
  <c r="T38" i="8"/>
  <c r="V39" i="8"/>
  <c r="T39" i="8"/>
  <c r="N39" i="8"/>
  <c r="P39" i="8"/>
  <c r="K39" i="8"/>
  <c r="V40" i="8"/>
  <c r="T40" i="8"/>
  <c r="N40" i="8"/>
  <c r="P40" i="8"/>
  <c r="K40" i="8"/>
  <c r="V41" i="8"/>
  <c r="T41" i="8"/>
  <c r="N41" i="8"/>
  <c r="P41" i="8"/>
  <c r="K41" i="8"/>
  <c r="V42" i="8"/>
  <c r="T42" i="8"/>
  <c r="N42" i="8"/>
  <c r="P42" i="8"/>
  <c r="K42" i="8"/>
  <c r="V43" i="8"/>
  <c r="T43" i="8"/>
  <c r="N43" i="8"/>
  <c r="P43" i="8"/>
  <c r="K43" i="8"/>
  <c r="W43" i="8"/>
  <c r="V44" i="8"/>
  <c r="T44" i="8"/>
  <c r="N44" i="8"/>
  <c r="P44" i="8"/>
  <c r="K44" i="8"/>
  <c r="V45" i="8"/>
  <c r="T45" i="8"/>
  <c r="N45" i="8"/>
  <c r="P45" i="8"/>
  <c r="K45" i="8"/>
  <c r="V46" i="8"/>
  <c r="T46" i="8"/>
  <c r="N46" i="8"/>
  <c r="P46" i="8"/>
  <c r="K46" i="8"/>
  <c r="W46" i="8"/>
  <c r="V47" i="8"/>
  <c r="T47" i="8"/>
  <c r="N47" i="8"/>
  <c r="P47" i="8"/>
  <c r="K47" i="8"/>
  <c r="V48" i="8"/>
  <c r="T48" i="8"/>
  <c r="N48" i="8"/>
  <c r="P48" i="8"/>
  <c r="K48" i="8"/>
  <c r="W48" i="8"/>
  <c r="V49" i="8"/>
  <c r="T49" i="8"/>
  <c r="N49" i="8"/>
  <c r="P49" i="8"/>
  <c r="K49" i="8"/>
  <c r="V50" i="8"/>
  <c r="T50" i="8"/>
  <c r="N50" i="8"/>
  <c r="P50" i="8"/>
  <c r="K50" i="8"/>
  <c r="V51" i="8"/>
  <c r="T51" i="8"/>
  <c r="N51" i="8"/>
  <c r="P51" i="8"/>
  <c r="K51" i="8"/>
  <c r="V52" i="8"/>
  <c r="T52" i="8"/>
  <c r="P52" i="8"/>
  <c r="W52" i="8"/>
  <c r="V53" i="8"/>
  <c r="T53" i="8"/>
  <c r="P53" i="8"/>
  <c r="V54" i="8"/>
  <c r="T54" i="8"/>
  <c r="P54" i="8"/>
  <c r="V55" i="8"/>
  <c r="T55" i="8"/>
  <c r="P55" i="8"/>
  <c r="V56" i="8"/>
  <c r="T56" i="8"/>
  <c r="P56" i="8"/>
  <c r="V57" i="8"/>
  <c r="T57" i="8"/>
  <c r="P57" i="8"/>
  <c r="V58" i="8"/>
  <c r="T58" i="8"/>
  <c r="P58" i="8"/>
  <c r="V59" i="8"/>
  <c r="T59" i="8"/>
  <c r="P59" i="8"/>
  <c r="V60" i="8"/>
  <c r="T60" i="8"/>
  <c r="N60" i="8"/>
  <c r="P60" i="8"/>
  <c r="K60" i="8"/>
  <c r="V61" i="8"/>
  <c r="T61" i="8"/>
  <c r="N61" i="8"/>
  <c r="P61" i="8"/>
  <c r="K61" i="8"/>
  <c r="V62" i="8"/>
  <c r="T62" i="8"/>
  <c r="N62" i="8"/>
  <c r="P62" i="8"/>
  <c r="K62" i="8"/>
  <c r="V63" i="8"/>
  <c r="T63" i="8"/>
  <c r="N63" i="8"/>
  <c r="P63" i="8"/>
  <c r="K63" i="8"/>
  <c r="V64" i="8"/>
  <c r="T64" i="8"/>
  <c r="N64" i="8"/>
  <c r="P64" i="8"/>
  <c r="K64" i="8"/>
  <c r="V65" i="8"/>
  <c r="T65" i="8"/>
  <c r="N65" i="8"/>
  <c r="P65" i="8"/>
  <c r="K65" i="8"/>
  <c r="V66" i="8"/>
  <c r="T66" i="8"/>
  <c r="N66" i="8"/>
  <c r="P66" i="8"/>
  <c r="K66" i="8"/>
  <c r="V67" i="8"/>
  <c r="T67" i="8"/>
  <c r="N67" i="8"/>
  <c r="P67" i="8"/>
  <c r="K67" i="8"/>
  <c r="V68" i="8"/>
  <c r="T68" i="8"/>
  <c r="N68" i="8"/>
  <c r="P68" i="8"/>
  <c r="K68" i="8"/>
  <c r="V69" i="8"/>
  <c r="T69" i="8"/>
  <c r="N69" i="8"/>
  <c r="P69" i="8"/>
  <c r="K69" i="8"/>
  <c r="V70" i="8"/>
  <c r="T70" i="8"/>
  <c r="N70" i="8"/>
  <c r="P70" i="8"/>
  <c r="K70" i="8"/>
  <c r="V71" i="8"/>
  <c r="T71" i="8"/>
  <c r="N71" i="8"/>
  <c r="P71" i="8"/>
  <c r="K71" i="8"/>
  <c r="V72" i="8"/>
  <c r="T72" i="8"/>
  <c r="N72" i="8"/>
  <c r="P72" i="8"/>
  <c r="K72" i="8"/>
  <c r="V73" i="8"/>
  <c r="T73" i="8"/>
  <c r="N73" i="8"/>
  <c r="P73" i="8"/>
  <c r="K73" i="8"/>
  <c r="V74" i="8"/>
  <c r="T74" i="8"/>
  <c r="N74" i="8"/>
  <c r="P74" i="8"/>
  <c r="K74" i="8"/>
  <c r="V75" i="8"/>
  <c r="T75" i="8"/>
  <c r="N75" i="8"/>
  <c r="P75" i="8"/>
  <c r="K75" i="8"/>
  <c r="W75" i="8"/>
  <c r="V76" i="8"/>
  <c r="T76" i="8"/>
  <c r="N76" i="8"/>
  <c r="P76" i="8"/>
  <c r="K76" i="8"/>
  <c r="V79" i="8"/>
  <c r="T79" i="8"/>
  <c r="N79" i="8"/>
  <c r="P79" i="8"/>
  <c r="K79" i="8"/>
  <c r="W79" i="8"/>
  <c r="Y79" i="8"/>
  <c r="B69" i="6"/>
  <c r="B71" i="6"/>
  <c r="V80" i="8"/>
  <c r="T80" i="8"/>
  <c r="N80" i="8"/>
  <c r="P80" i="8"/>
  <c r="K80" i="8"/>
  <c r="W80" i="8"/>
  <c r="V81" i="8"/>
  <c r="T81" i="8"/>
  <c r="N81" i="8"/>
  <c r="P81" i="8"/>
  <c r="K81" i="8"/>
  <c r="V93" i="8"/>
  <c r="T93" i="8"/>
  <c r="P93" i="8"/>
  <c r="W93" i="8"/>
  <c r="V94" i="8"/>
  <c r="T94" i="8"/>
  <c r="N94" i="8"/>
  <c r="P94" i="8"/>
  <c r="K94" i="8"/>
  <c r="V95" i="8"/>
  <c r="T95" i="8"/>
  <c r="N95" i="8"/>
  <c r="P95" i="8"/>
  <c r="K95" i="8"/>
  <c r="V96" i="8"/>
  <c r="T96" i="8"/>
  <c r="N96" i="8"/>
  <c r="P96" i="8"/>
  <c r="K96" i="8"/>
  <c r="V97" i="8"/>
  <c r="N97" i="8"/>
  <c r="P97" i="8"/>
  <c r="K97" i="8"/>
  <c r="W97" i="8"/>
  <c r="V98" i="8"/>
  <c r="V99" i="8"/>
  <c r="V100" i="8"/>
  <c r="V101" i="8"/>
  <c r="V102" i="8"/>
  <c r="V103" i="8"/>
  <c r="V104" i="8"/>
  <c r="V105" i="8"/>
  <c r="W105" i="8"/>
  <c r="V106" i="8"/>
  <c r="V107" i="8"/>
  <c r="V108" i="8"/>
  <c r="V111" i="8"/>
  <c r="T111" i="8"/>
  <c r="N111" i="8"/>
  <c r="P111" i="8"/>
  <c r="K111" i="8"/>
  <c r="W111" i="8"/>
  <c r="V112" i="8"/>
  <c r="T112" i="8"/>
  <c r="N112" i="8"/>
  <c r="P112" i="8"/>
  <c r="K112" i="8"/>
  <c r="V113" i="8"/>
  <c r="T113" i="8"/>
  <c r="N113" i="8"/>
  <c r="P113" i="8"/>
  <c r="K113" i="8"/>
  <c r="W113" i="8"/>
  <c r="V114" i="8"/>
  <c r="T114" i="8"/>
  <c r="N114" i="8"/>
  <c r="P114" i="8"/>
  <c r="K114" i="8"/>
  <c r="W114" i="8"/>
  <c r="V115" i="8"/>
  <c r="T115" i="8"/>
  <c r="N115" i="8"/>
  <c r="P115" i="8"/>
  <c r="K115" i="8"/>
  <c r="V116" i="8"/>
  <c r="T116" i="8"/>
  <c r="N116" i="8"/>
  <c r="P116" i="8"/>
  <c r="K116" i="8"/>
  <c r="W116" i="8"/>
  <c r="V117" i="8"/>
  <c r="T117" i="8"/>
  <c r="N117" i="8"/>
  <c r="P117" i="8"/>
  <c r="K117" i="8"/>
  <c r="W117" i="8"/>
  <c r="V118" i="8"/>
  <c r="T118" i="8"/>
  <c r="N118" i="8"/>
  <c r="P118" i="8"/>
  <c r="K118" i="8"/>
  <c r="W118" i="8"/>
  <c r="V119" i="8"/>
  <c r="T119" i="8"/>
  <c r="N119" i="8"/>
  <c r="P119" i="8"/>
  <c r="K119" i="8"/>
  <c r="W119" i="8"/>
  <c r="V120" i="8"/>
  <c r="T120" i="8"/>
  <c r="N120" i="8"/>
  <c r="P120" i="8"/>
  <c r="K120" i="8"/>
  <c r="V121" i="8"/>
  <c r="T121" i="8"/>
  <c r="N121" i="8"/>
  <c r="P121" i="8"/>
  <c r="K121" i="8"/>
  <c r="W121" i="8"/>
  <c r="V122" i="8"/>
  <c r="T122" i="8"/>
  <c r="N122" i="8"/>
  <c r="P122" i="8"/>
  <c r="K122" i="8"/>
  <c r="W122" i="8"/>
  <c r="V123" i="8"/>
  <c r="T123" i="8"/>
  <c r="N123" i="8"/>
  <c r="P123" i="8"/>
  <c r="K123" i="8"/>
  <c r="V124" i="8"/>
  <c r="T124" i="8"/>
  <c r="N124" i="8"/>
  <c r="P124" i="8"/>
  <c r="K124" i="8"/>
  <c r="V125" i="8"/>
  <c r="T125" i="8"/>
  <c r="N125" i="8"/>
  <c r="P125" i="8"/>
  <c r="K125" i="8"/>
  <c r="V126" i="8"/>
  <c r="T126" i="8"/>
  <c r="N126" i="8"/>
  <c r="P126" i="8"/>
  <c r="K126" i="8"/>
  <c r="W126" i="8"/>
  <c r="V127" i="8"/>
  <c r="T127" i="8"/>
  <c r="N127" i="8"/>
  <c r="P127" i="8"/>
  <c r="K127" i="8"/>
  <c r="V128" i="8"/>
  <c r="T128" i="8"/>
  <c r="N128" i="8"/>
  <c r="P128" i="8"/>
  <c r="K128" i="8"/>
  <c r="V129" i="8"/>
  <c r="P129" i="8"/>
  <c r="T129" i="8"/>
  <c r="K129" i="8"/>
  <c r="W129" i="8"/>
  <c r="V130" i="8"/>
  <c r="T130" i="8"/>
  <c r="N130" i="8"/>
  <c r="P130" i="8"/>
  <c r="K130" i="8"/>
  <c r="V131" i="8"/>
  <c r="T131" i="8"/>
  <c r="N131" i="8"/>
  <c r="P131" i="8"/>
  <c r="K131" i="8"/>
  <c r="V132" i="8"/>
  <c r="T132" i="8"/>
  <c r="N132" i="8"/>
  <c r="P132" i="8"/>
  <c r="K132" i="8"/>
  <c r="W132" i="8"/>
  <c r="V133" i="8"/>
  <c r="T133" i="8"/>
  <c r="N133" i="8"/>
  <c r="P133" i="8"/>
  <c r="K133" i="8"/>
  <c r="V134" i="8"/>
  <c r="T134" i="8"/>
  <c r="N134" i="8"/>
  <c r="P134" i="8"/>
  <c r="K134" i="8"/>
  <c r="W134" i="8"/>
  <c r="V8" i="8"/>
  <c r="T8" i="8"/>
  <c r="N8" i="8"/>
  <c r="P8" i="8"/>
  <c r="K8" i="8"/>
  <c r="V9" i="8"/>
  <c r="T9" i="8"/>
  <c r="N9" i="8"/>
  <c r="P9" i="8"/>
  <c r="K9" i="8"/>
  <c r="V10" i="8"/>
  <c r="T10" i="8"/>
  <c r="N10" i="8"/>
  <c r="P10" i="8"/>
  <c r="K10" i="8"/>
  <c r="W10" i="8"/>
  <c r="V11" i="8"/>
  <c r="T11" i="8"/>
  <c r="N11" i="8"/>
  <c r="P11" i="8"/>
  <c r="K11" i="8"/>
  <c r="V12" i="8"/>
  <c r="T12" i="8"/>
  <c r="N12" i="8"/>
  <c r="P12" i="8"/>
  <c r="K12" i="8"/>
  <c r="W12" i="8"/>
  <c r="V13" i="8"/>
  <c r="T13" i="8"/>
  <c r="N13" i="8"/>
  <c r="P13" i="8"/>
  <c r="K13" i="8"/>
  <c r="W13" i="8"/>
  <c r="V14" i="8"/>
  <c r="T14" i="8"/>
  <c r="N14" i="8"/>
  <c r="P14" i="8"/>
  <c r="K14" i="8"/>
  <c r="V15" i="8"/>
  <c r="T15" i="8"/>
  <c r="N15" i="8"/>
  <c r="P15" i="8"/>
  <c r="K15" i="8"/>
  <c r="V16" i="8"/>
  <c r="T16" i="8"/>
  <c r="N16" i="8"/>
  <c r="P16" i="8"/>
  <c r="K16" i="8"/>
  <c r="V17" i="8"/>
  <c r="T17" i="8"/>
  <c r="N17" i="8"/>
  <c r="P17" i="8"/>
  <c r="K17" i="8"/>
  <c r="W17" i="8"/>
  <c r="V18" i="8"/>
  <c r="T18" i="8"/>
  <c r="N18" i="8"/>
  <c r="P18" i="8"/>
  <c r="K18" i="8"/>
  <c r="W18" i="8"/>
  <c r="V19" i="8"/>
  <c r="T19" i="8"/>
  <c r="N19" i="8"/>
  <c r="P19" i="8"/>
  <c r="K19" i="8"/>
  <c r="V20" i="8"/>
  <c r="T20" i="8"/>
  <c r="N20" i="8"/>
  <c r="P20" i="8"/>
  <c r="K20" i="8"/>
  <c r="W20" i="8"/>
  <c r="V21" i="8"/>
  <c r="T21" i="8"/>
  <c r="N21" i="8"/>
  <c r="P21" i="8"/>
  <c r="K21" i="8"/>
  <c r="V22" i="8"/>
  <c r="T22" i="8"/>
  <c r="N22" i="8"/>
  <c r="P22" i="8"/>
  <c r="K22" i="8"/>
  <c r="W22" i="8"/>
  <c r="K77" i="8"/>
  <c r="K78" i="8"/>
  <c r="K109" i="8"/>
  <c r="K110" i="8"/>
  <c r="K135" i="8"/>
  <c r="B67" i="6"/>
  <c r="B7" i="6"/>
  <c r="C13" i="7"/>
  <c r="C9" i="7"/>
  <c r="E87" i="6"/>
  <c r="C10" i="7"/>
  <c r="C11" i="7"/>
  <c r="C12" i="7"/>
  <c r="C22" i="7"/>
  <c r="C21" i="7"/>
  <c r="AC69" i="8"/>
  <c r="AD69" i="8"/>
  <c r="V77" i="8"/>
  <c r="T77" i="8"/>
  <c r="N77" i="8"/>
  <c r="P77" i="8"/>
  <c r="V78" i="8"/>
  <c r="T78" i="8"/>
  <c r="N78" i="8"/>
  <c r="P78" i="8"/>
  <c r="V109" i="8"/>
  <c r="T109" i="8"/>
  <c r="N109" i="8"/>
  <c r="P109" i="8"/>
  <c r="V110" i="8"/>
  <c r="T110" i="8"/>
  <c r="N110" i="8"/>
  <c r="P110" i="8"/>
  <c r="V135" i="8"/>
  <c r="T135" i="8"/>
  <c r="N135" i="8"/>
  <c r="P135" i="8"/>
  <c r="C24" i="7"/>
  <c r="C25" i="7"/>
  <c r="C16" i="7"/>
  <c r="C15" i="7"/>
  <c r="C8" i="7"/>
  <c r="AC68" i="8"/>
  <c r="AD68" i="8"/>
  <c r="C23" i="7"/>
  <c r="C14" i="7"/>
  <c r="AD70" i="8"/>
  <c r="C7" i="7"/>
  <c r="B23" i="6"/>
  <c r="B91" i="6"/>
  <c r="B106" i="6"/>
  <c r="B114" i="6"/>
  <c r="C4" i="7"/>
  <c r="C5" i="7"/>
  <c r="C17" i="7"/>
  <c r="C20" i="7"/>
  <c r="C18" i="7"/>
  <c r="C6" i="7"/>
  <c r="W143" i="8"/>
  <c r="A137" i="8"/>
  <c r="A138" i="8"/>
  <c r="A139" i="8"/>
  <c r="A140" i="8"/>
  <c r="A141" i="8"/>
  <c r="A142" i="8"/>
  <c r="A143" i="8"/>
  <c r="A144" i="8"/>
  <c r="A145" i="8"/>
  <c r="A146" i="8"/>
  <c r="A147" i="8"/>
  <c r="W69" i="8"/>
  <c r="W15" i="8"/>
  <c r="W123" i="8"/>
  <c r="W41" i="8"/>
  <c r="W109" i="8"/>
  <c r="W9" i="8"/>
  <c r="W44" i="8"/>
  <c r="W112" i="8"/>
  <c r="Y111" i="8"/>
  <c r="B93" i="6"/>
  <c r="B95" i="6"/>
  <c r="W133" i="8"/>
  <c r="W71" i="8"/>
  <c r="W120" i="8"/>
  <c r="W74" i="8"/>
  <c r="W77" i="8"/>
  <c r="W16" i="8"/>
  <c r="W131" i="8"/>
  <c r="W36" i="8"/>
  <c r="W32" i="8"/>
  <c r="W78" i="8"/>
  <c r="W135" i="8"/>
  <c r="W110" i="8"/>
  <c r="W47" i="8"/>
  <c r="W25" i="8"/>
  <c r="W8" i="8"/>
  <c r="W127" i="8"/>
  <c r="W21" i="8"/>
  <c r="W115" i="8"/>
  <c r="Y113" i="8"/>
  <c r="B97" i="6"/>
  <c r="B102" i="6"/>
  <c r="C27" i="7"/>
  <c r="B11" i="6"/>
  <c r="W67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W130" i="8"/>
  <c r="W128" i="8"/>
  <c r="W125" i="8"/>
  <c r="W104" i="8"/>
  <c r="W63" i="8"/>
  <c r="W66" i="8"/>
  <c r="W61" i="8"/>
  <c r="W64" i="8"/>
  <c r="W31" i="8"/>
  <c r="W68" i="8"/>
  <c r="W85" i="8"/>
  <c r="W23" i="8"/>
  <c r="Y23" i="8"/>
  <c r="B13" i="6"/>
  <c r="B15" i="6"/>
  <c r="W56" i="8"/>
  <c r="W11" i="8"/>
  <c r="W14" i="8"/>
  <c r="Y8" i="8"/>
  <c r="B120" i="6"/>
  <c r="W42" i="8"/>
  <c r="W108" i="8"/>
  <c r="W65" i="8"/>
  <c r="W45" i="8"/>
  <c r="W34" i="8"/>
  <c r="W62" i="8"/>
  <c r="W39" i="8"/>
  <c r="W19" i="8"/>
  <c r="Y17" i="8"/>
  <c r="B121" i="6"/>
  <c r="W53" i="8"/>
  <c r="Y33" i="8"/>
  <c r="B25" i="6"/>
  <c r="B27" i="6"/>
  <c r="Y132" i="8"/>
  <c r="B116" i="6"/>
  <c r="B118" i="6"/>
  <c r="W76" i="8"/>
  <c r="Y75" i="8"/>
  <c r="B58" i="6"/>
  <c r="B61" i="6"/>
  <c r="W73" i="8"/>
  <c r="W49" i="8"/>
  <c r="W58" i="8"/>
  <c r="W95" i="8"/>
  <c r="W107" i="8"/>
  <c r="W55" i="8"/>
  <c r="W50" i="8"/>
  <c r="W59" i="8"/>
  <c r="W30" i="8"/>
  <c r="W88" i="8"/>
  <c r="W57" i="8"/>
  <c r="W70" i="8"/>
  <c r="W72" i="8"/>
  <c r="W124" i="8"/>
  <c r="W81" i="8"/>
  <c r="Y80" i="8"/>
  <c r="W106" i="8"/>
  <c r="T137" i="8"/>
  <c r="Q138" i="8"/>
  <c r="T138" i="8"/>
  <c r="W51" i="8"/>
  <c r="W54" i="8"/>
  <c r="W60" i="8"/>
  <c r="W99" i="8"/>
  <c r="W28" i="8"/>
  <c r="W90" i="8"/>
  <c r="W101" i="8"/>
  <c r="W83" i="8"/>
  <c r="W100" i="8"/>
  <c r="W96" i="8"/>
  <c r="W98" i="8"/>
  <c r="W102" i="8"/>
  <c r="W40" i="8"/>
  <c r="W29" i="8"/>
  <c r="K137" i="8"/>
  <c r="H138" i="8"/>
  <c r="K138" i="8"/>
  <c r="W27" i="8"/>
  <c r="P137" i="8"/>
  <c r="P139" i="8"/>
  <c r="W139" i="8"/>
  <c r="W103" i="8"/>
  <c r="V137" i="8"/>
  <c r="A92" i="8"/>
  <c r="Y123" i="8"/>
  <c r="B108" i="6"/>
  <c r="B110" i="6"/>
  <c r="Y36" i="8"/>
  <c r="B29" i="6"/>
  <c r="B32" i="6"/>
  <c r="Y41" i="8"/>
  <c r="B34" i="6"/>
  <c r="B36" i="6"/>
  <c r="Y87" i="8"/>
  <c r="D136" i="6"/>
  <c r="Y67" i="8"/>
  <c r="B51" i="6"/>
  <c r="B56" i="6"/>
  <c r="B73" i="6"/>
  <c r="B75" i="6"/>
  <c r="B123" i="6"/>
  <c r="Y60" i="8"/>
  <c r="B44" i="6"/>
  <c r="B48" i="6"/>
  <c r="Y49" i="8"/>
  <c r="B38" i="6"/>
  <c r="B42" i="6"/>
  <c r="Y26" i="8"/>
  <c r="B17" i="6"/>
  <c r="B19" i="6"/>
  <c r="B81" i="6"/>
  <c r="W138" i="8"/>
  <c r="Y93" i="8"/>
  <c r="B85" i="6"/>
  <c r="B87" i="6"/>
  <c r="H142" i="8" l="1"/>
  <c r="W142" i="8" s="1"/>
  <c r="W144" i="8"/>
  <c r="W146" i="8" s="1"/>
  <c r="Y82" i="8"/>
  <c r="W145" i="8" l="1"/>
  <c r="W147" i="8" s="1"/>
  <c r="B79" i="6"/>
  <c r="B126" i="6" s="1"/>
  <c r="B128" i="6" s="1"/>
  <c r="B129" i="6" s="1"/>
  <c r="D134" i="6"/>
  <c r="B130" i="6" l="1"/>
  <c r="I129" i="6" s="1"/>
</calcChain>
</file>

<file path=xl/sharedStrings.xml><?xml version="1.0" encoding="utf-8"?>
<sst xmlns="http://schemas.openxmlformats.org/spreadsheetml/2006/main" count="429" uniqueCount="253">
  <si>
    <t>The Alleato Group  .  8383 Craig Street #150  .  Indianapolis, IN  .  46250</t>
  </si>
  <si>
    <t>Contact</t>
  </si>
  <si>
    <t>Project:</t>
  </si>
  <si>
    <t>Location:</t>
  </si>
  <si>
    <t>Division 01 General Conditions</t>
  </si>
  <si>
    <t>Total</t>
  </si>
  <si>
    <t>Division 02 Existing Conditions</t>
  </si>
  <si>
    <t>From Qty Sheet</t>
  </si>
  <si>
    <t>Division 03 Concrete</t>
  </si>
  <si>
    <t xml:space="preserve">Division 03.1 Precast </t>
  </si>
  <si>
    <t xml:space="preserve">Precast </t>
  </si>
  <si>
    <t>ATMI</t>
  </si>
  <si>
    <t>Division 04 Masonry</t>
  </si>
  <si>
    <t>Masonry</t>
  </si>
  <si>
    <t>Division 05 Metals</t>
  </si>
  <si>
    <t>Division 06 Wood Plastics Composits</t>
  </si>
  <si>
    <t xml:space="preserve">                                      Division 07 Thermal and Moisture Protection</t>
  </si>
  <si>
    <t>Division 08 Openings</t>
  </si>
  <si>
    <t>Division 09 Finishes</t>
  </si>
  <si>
    <t>Tax</t>
  </si>
  <si>
    <t>Division 10 Specialties</t>
  </si>
  <si>
    <t>Division 11 Equipment</t>
  </si>
  <si>
    <t>Division 12 Furnishings</t>
  </si>
  <si>
    <t>Division 21 Fire Suppression</t>
  </si>
  <si>
    <t>Division 22 Plumbing</t>
  </si>
  <si>
    <t>Division 23 HVAC</t>
  </si>
  <si>
    <t xml:space="preserve">Division 26 Electrical </t>
  </si>
  <si>
    <t xml:space="preserve">Division 27 Communications </t>
  </si>
  <si>
    <t>Division 28 Electronic Safety and Secutiry</t>
  </si>
  <si>
    <t>Division 31 Earthwork</t>
  </si>
  <si>
    <t>Division 31.10 Soil Stabilization</t>
  </si>
  <si>
    <t>Division 32 Exterior Improvements</t>
  </si>
  <si>
    <t>Division 32.10 Paving</t>
  </si>
  <si>
    <t>Division 33 Utilities</t>
  </si>
  <si>
    <t>Division 50 Design</t>
  </si>
  <si>
    <t>Sales Tax</t>
  </si>
  <si>
    <t>Subtotal</t>
  </si>
  <si>
    <t>Contingency</t>
  </si>
  <si>
    <t>Insurance</t>
  </si>
  <si>
    <t>Fee</t>
  </si>
  <si>
    <t>Total Cost</t>
  </si>
  <si>
    <t>Alternates</t>
  </si>
  <si>
    <t>Allowance Schedule</t>
  </si>
  <si>
    <t>Misc. Gyp. Board Patching</t>
  </si>
  <si>
    <t>(Material and Labor)</t>
  </si>
  <si>
    <t>Electrical</t>
  </si>
  <si>
    <t>Design for Permitting</t>
  </si>
  <si>
    <t>Doors, Frames, Hardware</t>
  </si>
  <si>
    <t>(Material only)</t>
  </si>
  <si>
    <t>Project Duration</t>
  </si>
  <si>
    <t>Months</t>
  </si>
  <si>
    <t>Weeks</t>
  </si>
  <si>
    <t>General Conditions</t>
  </si>
  <si>
    <t>Quantity</t>
  </si>
  <si>
    <t>Unit</t>
  </si>
  <si>
    <t>Rate</t>
  </si>
  <si>
    <t>Project Manager</t>
  </si>
  <si>
    <t>Superintendent</t>
  </si>
  <si>
    <t>PM Fuel</t>
  </si>
  <si>
    <t>PM Truck</t>
  </si>
  <si>
    <t>3245</t>
  </si>
  <si>
    <t>Office Supplies</t>
  </si>
  <si>
    <t>Printing &amp; Copying</t>
  </si>
  <si>
    <t>LS</t>
  </si>
  <si>
    <t>Leed Documentation</t>
  </si>
  <si>
    <t xml:space="preserve">Permit Requirements </t>
  </si>
  <si>
    <t>Testing &amp; Inspections</t>
  </si>
  <si>
    <t>Temporary Electric</t>
  </si>
  <si>
    <t>First Aid/Safety Supplies</t>
  </si>
  <si>
    <t>Field Office</t>
  </si>
  <si>
    <t>Safety Inspections</t>
  </si>
  <si>
    <t>Temp Toilets</t>
  </si>
  <si>
    <t>Software Licensing</t>
  </si>
  <si>
    <t xml:space="preserve">Travel &amp; Entertaintment </t>
  </si>
  <si>
    <t>Misc Small Tools</t>
  </si>
  <si>
    <t>Equipment Rental</t>
  </si>
  <si>
    <t>Progress Cleaning</t>
  </si>
  <si>
    <t>Dumpsters</t>
  </si>
  <si>
    <t>EA</t>
  </si>
  <si>
    <t>Temp Fencing</t>
  </si>
  <si>
    <t>lf</t>
  </si>
  <si>
    <t>Final Cleaning</t>
  </si>
  <si>
    <t>SF</t>
  </si>
  <si>
    <t>Client:</t>
  </si>
  <si>
    <t>Job Name:</t>
  </si>
  <si>
    <t>Estimate Number:</t>
  </si>
  <si>
    <t>Estimate Date:</t>
  </si>
  <si>
    <t>Estimator:</t>
  </si>
  <si>
    <t>Revision Date:</t>
  </si>
  <si>
    <t>Dimensions</t>
  </si>
  <si>
    <t>Material</t>
  </si>
  <si>
    <t>Labor</t>
  </si>
  <si>
    <t>Equipment (incl fuel)</t>
  </si>
  <si>
    <t>Subcontract</t>
  </si>
  <si>
    <t>Line</t>
  </si>
  <si>
    <t>Division</t>
  </si>
  <si>
    <t>Description</t>
  </si>
  <si>
    <t>Length</t>
  </si>
  <si>
    <t>Width</t>
  </si>
  <si>
    <t>Depth</t>
  </si>
  <si>
    <t>No. of Ea.</t>
  </si>
  <si>
    <t>Unit Price</t>
  </si>
  <si>
    <t>Cost</t>
  </si>
  <si>
    <t>Crew</t>
  </si>
  <si>
    <t>Hrs</t>
  </si>
  <si>
    <t>MH</t>
  </si>
  <si>
    <t>Duration</t>
  </si>
  <si>
    <t>Comments</t>
  </si>
  <si>
    <t>00 Design</t>
  </si>
  <si>
    <t>Alleato Coordination</t>
  </si>
  <si>
    <t>lot</t>
  </si>
  <si>
    <t>Boundary Survey</t>
  </si>
  <si>
    <t>Topographic Survey</t>
  </si>
  <si>
    <t>Geotechnical Survey</t>
  </si>
  <si>
    <t>Civil Design</t>
  </si>
  <si>
    <t>Architectural Design</t>
  </si>
  <si>
    <t>Structural</t>
  </si>
  <si>
    <t>MEP Design</t>
  </si>
  <si>
    <t>01 General Conditions</t>
  </si>
  <si>
    <t>Application Fees</t>
  </si>
  <si>
    <t>State Release ($150 + $.05 x floor sq footage)</t>
  </si>
  <si>
    <t>Local Permits</t>
  </si>
  <si>
    <t>Local Planning</t>
  </si>
  <si>
    <t>02 Existing Conditions</t>
  </si>
  <si>
    <t>SWAG</t>
  </si>
  <si>
    <t>03 Concrete</t>
  </si>
  <si>
    <t>Transformer Pads</t>
  </si>
  <si>
    <t>Plug Number</t>
  </si>
  <si>
    <t>Generator Pads</t>
  </si>
  <si>
    <t>Bollard Concrete</t>
  </si>
  <si>
    <t>Rebar</t>
  </si>
  <si>
    <t>04 Masonry</t>
  </si>
  <si>
    <t>sf</t>
  </si>
  <si>
    <t>05 Metals</t>
  </si>
  <si>
    <t>ea</t>
  </si>
  <si>
    <t>06 Wood Plastics Composits</t>
  </si>
  <si>
    <t>Hardi Board</t>
  </si>
  <si>
    <t>Exterior Plywood/Blocking</t>
  </si>
  <si>
    <t>Bar Support Wall</t>
  </si>
  <si>
    <t>Wood Bar Top</t>
  </si>
  <si>
    <t>Solid Surface Bar Top</t>
  </si>
  <si>
    <t>Delivery</t>
  </si>
  <si>
    <t>Interior Wall Framing</t>
  </si>
  <si>
    <t>LF</t>
  </si>
  <si>
    <t>07 Thermal and Moisture Protection</t>
  </si>
  <si>
    <t>08 Openings</t>
  </si>
  <si>
    <t>09 Finishes</t>
  </si>
  <si>
    <t>height of wall:</t>
  </si>
  <si>
    <t>6" 20'</t>
  </si>
  <si>
    <t>4x12 Type X</t>
  </si>
  <si>
    <t>Paint Walls</t>
  </si>
  <si>
    <t>Nails/Screws</t>
  </si>
  <si>
    <t>Patch Flooring</t>
  </si>
  <si>
    <t>10 Specialties</t>
  </si>
  <si>
    <t>11 Equipment</t>
  </si>
  <si>
    <t>by owner</t>
  </si>
  <si>
    <t>12 Furnishings</t>
  </si>
  <si>
    <t>21 Fire Suppression</t>
  </si>
  <si>
    <t>Fire Supression Allowance</t>
  </si>
  <si>
    <t>22 Plumbing</t>
  </si>
  <si>
    <t>Condensate Drains</t>
  </si>
  <si>
    <t>23 HVAC</t>
  </si>
  <si>
    <t>26 Electrical</t>
  </si>
  <si>
    <t>800 Amp Service from existing Circuit - 28 containers</t>
  </si>
  <si>
    <t>Mid South Number</t>
  </si>
  <si>
    <t>800 Amp Service from MSB - 28 Containers</t>
  </si>
  <si>
    <t>27  Communications</t>
  </si>
  <si>
    <t>Excluded</t>
  </si>
  <si>
    <t>data and tech by owner</t>
  </si>
  <si>
    <t>28 Electronic Safety and Security</t>
  </si>
  <si>
    <t>NAC Panel</t>
  </si>
  <si>
    <t>31 Earthwork</t>
  </si>
  <si>
    <t>Earthwork Subcontract - Clear, Grub, dispose spoils</t>
  </si>
  <si>
    <t>Staking/Engineering</t>
  </si>
  <si>
    <t>Footing spoils - haul offsite</t>
  </si>
  <si>
    <t>cy</t>
  </si>
  <si>
    <t>Utility spoils - haul offsite</t>
  </si>
  <si>
    <t>Stone 4" generator areas</t>
  </si>
  <si>
    <t>Tons</t>
  </si>
  <si>
    <t>Geotextile Fabric</t>
  </si>
  <si>
    <t>Stone Access Road</t>
  </si>
  <si>
    <t>Silt Fence Install &amp; Monitoring</t>
  </si>
  <si>
    <t>32 Exterior Improvements</t>
  </si>
  <si>
    <t>6' Chain Link Fence &amp; Gates</t>
  </si>
  <si>
    <t>Landscaping - Sod around new drive</t>
  </si>
  <si>
    <t>Curbs cut and patch at existing parking lot</t>
  </si>
  <si>
    <t>Pavement Marking</t>
  </si>
  <si>
    <t>Lot</t>
  </si>
  <si>
    <t>Testing</t>
  </si>
  <si>
    <t>Demo Planters and curbing</t>
  </si>
  <si>
    <t>Surveying</t>
  </si>
  <si>
    <t>Modify Storm Swale for access road</t>
  </si>
  <si>
    <t>33 Utilities/Storm/Drain</t>
  </si>
  <si>
    <t>Storm Capture System</t>
  </si>
  <si>
    <t>Crane &amp; Rigging</t>
  </si>
  <si>
    <t>Subtotal Direct Cost</t>
  </si>
  <si>
    <t>PRTI</t>
  </si>
  <si>
    <t>Subtotal with Taxes</t>
  </si>
  <si>
    <t>Design Fees</t>
  </si>
  <si>
    <t>Rate per Week</t>
  </si>
  <si>
    <t>No. of Wks</t>
  </si>
  <si>
    <t>Subtotal w/ GCs and Design</t>
  </si>
  <si>
    <t>P&amp;P Bond</t>
  </si>
  <si>
    <t>Estimate Total</t>
  </si>
  <si>
    <t>Design</t>
  </si>
  <si>
    <t>AJ Taylor</t>
  </si>
  <si>
    <t>ataylor@alleatogroup.com</t>
  </si>
  <si>
    <t>317.363.3396</t>
  </si>
  <si>
    <t>Electrical sub</t>
  </si>
  <si>
    <t>(Deduct) Condensate Pumps - 60 Each</t>
  </si>
  <si>
    <t>(Deduct) Small Generator for IT/Security</t>
  </si>
  <si>
    <t>(Deduct) 4 - 130 AC system to keep indor temperature at 75-80 degrees</t>
  </si>
  <si>
    <t>cut opening for new egress</t>
  </si>
  <si>
    <t>install exterior door</t>
  </si>
  <si>
    <t>concrete stoop</t>
  </si>
  <si>
    <t>wall pack for egress lighting</t>
  </si>
  <si>
    <t>gate at north fence</t>
  </si>
  <si>
    <t>misc, paint caulk</t>
  </si>
  <si>
    <t>(Deduct) New Egress Man Door on East Side of Building</t>
  </si>
  <si>
    <t>insulation on drop ceiling</t>
  </si>
  <si>
    <t>Included in Mid South</t>
  </si>
  <si>
    <t>Concrete Subcontractor Include stoop at door</t>
  </si>
  <si>
    <t>roofing for curbs</t>
  </si>
  <si>
    <t>Design?</t>
  </si>
  <si>
    <t>Aluminum Cap grid with USG 2410 tile and insulation</t>
  </si>
  <si>
    <t>Add for Seismic</t>
  </si>
  <si>
    <t>Included with Eubanks</t>
  </si>
  <si>
    <t>859859 Eubanks</t>
  </si>
  <si>
    <t>internal cont.</t>
  </si>
  <si>
    <t>internal cont</t>
  </si>
  <si>
    <t>Brandon Clymer</t>
  </si>
  <si>
    <t>bclymer@alleatogroup.com</t>
  </si>
  <si>
    <t>317.760.0088</t>
  </si>
  <si>
    <t>850 East Central Avenue, Fresno, CA 93725</t>
  </si>
  <si>
    <t>Allowance</t>
  </si>
  <si>
    <t>Valley Air</t>
  </si>
  <si>
    <t xml:space="preserve">Internal cont. </t>
  </si>
  <si>
    <t>Ulta Beauty</t>
  </si>
  <si>
    <t>Fresno, California</t>
  </si>
  <si>
    <t>gas for rtus</t>
  </si>
  <si>
    <t>structural curbs</t>
  </si>
  <si>
    <t>Ulta Fresno New RTUs R1</t>
  </si>
  <si>
    <t xml:space="preserve"> </t>
  </si>
  <si>
    <t>ACCO</t>
  </si>
  <si>
    <t xml:space="preserve">All State Roofing </t>
  </si>
  <si>
    <t xml:space="preserve">Roofing at Curbs </t>
  </si>
  <si>
    <t>Reinforce Joists 8 AANON Units reuse spaces</t>
  </si>
  <si>
    <t xml:space="preserve">internal cont. </t>
  </si>
  <si>
    <t>(7) 25 ton units</t>
  </si>
  <si>
    <t>HVLS Fans</t>
  </si>
  <si>
    <t>Fire Alarm</t>
  </si>
  <si>
    <t>Ulta Beauty Fresno DC New RTUs R6</t>
  </si>
  <si>
    <t>Date: 11/11/2025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</si>
</sst>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&quot;Bid Date: &quot;mm/dd/yy;@"/>
    <numFmt numFmtId="165" formatCode="&quot;$&quot;#,##0"/>
    <numFmt numFmtId="166" formatCode="_(&quot;$&quot;* #,##0_);_(&quot;$&quot;* \(#,##0\);_(&quot;$&quot;* &quot;-&quot;??_);_(@_)"/>
    <numFmt numFmtId="167" formatCode="0.0%"/>
    <numFmt numFmtId="168" formatCode="_([$$-409]* #,##0.00_);_([$$-409]* \(#,##0.00\);_([$$-409]* &quot;-&quot;??_);_(@_)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9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9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Cambria"/>
      <family val="1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35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/>
      <right style="medium">
        <color indexed="64"/>
      </right>
      <top/>
      <bottom style="double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44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250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44" fontId="0" fillId="0" borderId="0" xfId="4" applyFont="1"/>
    <xf numFmtId="44" fontId="6" fillId="0" borderId="0" xfId="4" applyFon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7" xfId="0" applyFont="1" applyBorder="1"/>
    <xf numFmtId="0" fontId="3" fillId="0" borderId="6" xfId="0" applyFont="1" applyBorder="1" applyAlignment="1">
      <alignment horizontal="left"/>
    </xf>
    <xf numFmtId="0" fontId="0" fillId="0" borderId="6" xfId="0" applyBorder="1" applyAlignment="1">
      <alignment horizontal="center"/>
    </xf>
    <xf numFmtId="44" fontId="0" fillId="0" borderId="0" xfId="4" applyFont="1" applyBorder="1"/>
    <xf numFmtId="0" fontId="0" fillId="0" borderId="7" xfId="0" applyBorder="1"/>
    <xf numFmtId="0" fontId="11" fillId="0" borderId="6" xfId="0" applyFont="1" applyBorder="1" applyAlignment="1">
      <alignment horizontal="center"/>
    </xf>
    <xf numFmtId="44" fontId="9" fillId="0" borderId="0" xfId="4" applyFont="1" applyBorder="1"/>
    <xf numFmtId="0" fontId="6" fillId="0" borderId="7" xfId="0" applyFont="1" applyBorder="1"/>
    <xf numFmtId="0" fontId="6" fillId="0" borderId="6" xfId="0" applyFont="1" applyBorder="1" applyAlignment="1">
      <alignment horizontal="center"/>
    </xf>
    <xf numFmtId="44" fontId="6" fillId="0" borderId="0" xfId="4" applyFont="1" applyBorder="1" applyAlignment="1">
      <alignment horizontal="left"/>
    </xf>
    <xf numFmtId="44" fontId="9" fillId="0" borderId="0" xfId="4" applyFont="1" applyBorder="1" applyAlignment="1">
      <alignment horizontal="left"/>
    </xf>
    <xf numFmtId="44" fontId="6" fillId="0" borderId="0" xfId="4" applyFont="1" applyBorder="1"/>
    <xf numFmtId="44" fontId="9" fillId="0" borderId="0" xfId="4" applyFont="1" applyBorder="1" applyAlignment="1"/>
    <xf numFmtId="44" fontId="11" fillId="0" borderId="0" xfId="4" applyFont="1" applyBorder="1" applyAlignment="1"/>
    <xf numFmtId="0" fontId="10" fillId="2" borderId="11" xfId="0" applyFont="1" applyFill="1" applyBorder="1" applyAlignment="1">
      <alignment horizontal="center"/>
    </xf>
    <xf numFmtId="0" fontId="6" fillId="0" borderId="12" xfId="0" applyFont="1" applyBorder="1"/>
    <xf numFmtId="0" fontId="6" fillId="0" borderId="13" xfId="0" applyFont="1" applyBorder="1"/>
    <xf numFmtId="0" fontId="0" fillId="0" borderId="0" xfId="0" applyAlignment="1">
      <alignment horizontal="left" vertical="top"/>
    </xf>
    <xf numFmtId="0" fontId="10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44" fontId="6" fillId="0" borderId="4" xfId="4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11" xfId="0" applyFont="1" applyBorder="1" applyAlignment="1">
      <alignment horizontal="center"/>
    </xf>
    <xf numFmtId="44" fontId="6" fillId="0" borderId="12" xfId="4" applyFont="1" applyBorder="1"/>
    <xf numFmtId="0" fontId="13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44" fontId="12" fillId="2" borderId="12" xfId="4" applyFont="1" applyFill="1" applyBorder="1"/>
    <xf numFmtId="0" fontId="6" fillId="0" borderId="0" xfId="0" applyFont="1" applyAlignment="1">
      <alignment wrapText="1"/>
    </xf>
    <xf numFmtId="2" fontId="0" fillId="0" borderId="0" xfId="4" applyNumberFormat="1" applyFont="1"/>
    <xf numFmtId="2" fontId="0" fillId="0" borderId="0" xfId="0" applyNumberFormat="1"/>
    <xf numFmtId="9" fontId="0" fillId="0" borderId="0" xfId="5" applyFont="1" applyAlignment="1">
      <alignment horizontal="left" vertical="top"/>
    </xf>
    <xf numFmtId="44" fontId="0" fillId="0" borderId="0" xfId="0" applyNumberFormat="1"/>
    <xf numFmtId="0" fontId="14" fillId="4" borderId="0" xfId="0" applyFont="1" applyFill="1"/>
    <xf numFmtId="0" fontId="0" fillId="4" borderId="0" xfId="0" applyFill="1"/>
    <xf numFmtId="0" fontId="14" fillId="4" borderId="0" xfId="0" applyFont="1" applyFill="1" applyAlignment="1">
      <alignment horizontal="center"/>
    </xf>
    <xf numFmtId="0" fontId="15" fillId="4" borderId="0" xfId="0" applyFont="1" applyFill="1"/>
    <xf numFmtId="44" fontId="16" fillId="4" borderId="0" xfId="4" applyFont="1" applyFill="1"/>
    <xf numFmtId="14" fontId="14" fillId="4" borderId="0" xfId="0" applyNumberFormat="1" applyFont="1" applyFill="1"/>
    <xf numFmtId="0" fontId="16" fillId="4" borderId="0" xfId="0" applyFont="1" applyFill="1"/>
    <xf numFmtId="0" fontId="14" fillId="0" borderId="0" xfId="0" applyFont="1"/>
    <xf numFmtId="0" fontId="16" fillId="0" borderId="0" xfId="0" applyFont="1"/>
    <xf numFmtId="44" fontId="16" fillId="0" borderId="0" xfId="4" applyFont="1" applyFill="1"/>
    <xf numFmtId="0" fontId="14" fillId="4" borderId="14" xfId="0" applyFont="1" applyFill="1" applyBorder="1"/>
    <xf numFmtId="0" fontId="14" fillId="4" borderId="3" xfId="0" applyFont="1" applyFill="1" applyBorder="1"/>
    <xf numFmtId="0" fontId="14" fillId="4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18" xfId="0" applyFont="1" applyFill="1" applyBorder="1"/>
    <xf numFmtId="0" fontId="14" fillId="4" borderId="6" xfId="0" applyFont="1" applyFill="1" applyBorder="1"/>
    <xf numFmtId="0" fontId="14" fillId="4" borderId="7" xfId="0" applyFont="1" applyFill="1" applyBorder="1"/>
    <xf numFmtId="0" fontId="14" fillId="4" borderId="7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  <xf numFmtId="0" fontId="17" fillId="4" borderId="6" xfId="0" applyFont="1" applyFill="1" applyBorder="1" applyAlignment="1">
      <alignment horizontal="center"/>
    </xf>
    <xf numFmtId="44" fontId="15" fillId="4" borderId="6" xfId="4" applyFont="1" applyFill="1" applyBorder="1"/>
    <xf numFmtId="0" fontId="1" fillId="0" borderId="20" xfId="0" applyFont="1" applyBorder="1"/>
    <xf numFmtId="0" fontId="19" fillId="0" borderId="21" xfId="0" applyFont="1" applyBorder="1"/>
    <xf numFmtId="0" fontId="19" fillId="0" borderId="22" xfId="0" applyFont="1" applyBorder="1"/>
    <xf numFmtId="0" fontId="19" fillId="0" borderId="23" xfId="0" applyFont="1" applyBorder="1"/>
    <xf numFmtId="0" fontId="19" fillId="0" borderId="23" xfId="0" applyFont="1" applyBorder="1" applyAlignment="1">
      <alignment horizontal="center"/>
    </xf>
    <xf numFmtId="165" fontId="0" fillId="0" borderId="23" xfId="0" applyNumberFormat="1" applyBorder="1"/>
    <xf numFmtId="3" fontId="19" fillId="0" borderId="24" xfId="0" applyNumberFormat="1" applyFont="1" applyBorder="1"/>
    <xf numFmtId="0" fontId="20" fillId="0" borderId="22" xfId="0" applyFont="1" applyBorder="1"/>
    <xf numFmtId="44" fontId="21" fillId="0" borderId="22" xfId="4" applyFont="1" applyBorder="1"/>
    <xf numFmtId="44" fontId="21" fillId="0" borderId="21" xfId="4" applyFont="1" applyBorder="1"/>
    <xf numFmtId="165" fontId="0" fillId="0" borderId="19" xfId="0" applyNumberFormat="1" applyBorder="1"/>
    <xf numFmtId="0" fontId="0" fillId="0" borderId="20" xfId="0" applyBorder="1"/>
    <xf numFmtId="0" fontId="0" fillId="0" borderId="20" xfId="0" applyBorder="1" applyAlignment="1">
      <alignment horizontal="left"/>
    </xf>
    <xf numFmtId="165" fontId="1" fillId="0" borderId="0" xfId="0" applyNumberFormat="1" applyFont="1"/>
    <xf numFmtId="0" fontId="0" fillId="0" borderId="20" xfId="0" applyBorder="1" applyAlignment="1">
      <alignment horizontal="left" indent="2"/>
    </xf>
    <xf numFmtId="165" fontId="0" fillId="0" borderId="0" xfId="0" applyNumberFormat="1"/>
    <xf numFmtId="0" fontId="20" fillId="0" borderId="20" xfId="0" applyFont="1" applyBorder="1"/>
    <xf numFmtId="0" fontId="0" fillId="0" borderId="0" xfId="0" applyAlignment="1">
      <alignment horizontal="left" indent="1"/>
    </xf>
    <xf numFmtId="0" fontId="0" fillId="5" borderId="20" xfId="0" applyFill="1" applyBorder="1"/>
    <xf numFmtId="44" fontId="21" fillId="0" borderId="21" xfId="4" applyFont="1" applyFill="1" applyBorder="1"/>
    <xf numFmtId="0" fontId="1" fillId="0" borderId="0" xfId="0" applyFont="1"/>
    <xf numFmtId="0" fontId="0" fillId="0" borderId="18" xfId="0" applyBorder="1"/>
    <xf numFmtId="44" fontId="21" fillId="0" borderId="22" xfId="4" applyFont="1" applyFill="1" applyBorder="1"/>
    <xf numFmtId="0" fontId="25" fillId="0" borderId="20" xfId="0" applyFont="1" applyBorder="1"/>
    <xf numFmtId="0" fontId="0" fillId="7" borderId="20" xfId="0" applyFill="1" applyBorder="1"/>
    <xf numFmtId="0" fontId="19" fillId="7" borderId="21" xfId="0" applyFont="1" applyFill="1" applyBorder="1"/>
    <xf numFmtId="0" fontId="19" fillId="7" borderId="22" xfId="0" applyFont="1" applyFill="1" applyBorder="1"/>
    <xf numFmtId="0" fontId="19" fillId="7" borderId="23" xfId="0" applyFont="1" applyFill="1" applyBorder="1"/>
    <xf numFmtId="0" fontId="19" fillId="7" borderId="23" xfId="0" applyFont="1" applyFill="1" applyBorder="1" applyAlignment="1">
      <alignment horizontal="center"/>
    </xf>
    <xf numFmtId="165" fontId="0" fillId="7" borderId="23" xfId="0" applyNumberFormat="1" applyFill="1" applyBorder="1"/>
    <xf numFmtId="3" fontId="19" fillId="7" borderId="24" xfId="0" applyNumberFormat="1" applyFont="1" applyFill="1" applyBorder="1"/>
    <xf numFmtId="0" fontId="20" fillId="7" borderId="22" xfId="0" applyFont="1" applyFill="1" applyBorder="1"/>
    <xf numFmtId="44" fontId="21" fillId="7" borderId="22" xfId="4" applyFont="1" applyFill="1" applyBorder="1"/>
    <xf numFmtId="44" fontId="21" fillId="7" borderId="21" xfId="4" applyFont="1" applyFill="1" applyBorder="1"/>
    <xf numFmtId="165" fontId="0" fillId="7" borderId="19" xfId="0" applyNumberFormat="1" applyFill="1" applyBorder="1"/>
    <xf numFmtId="0" fontId="0" fillId="8" borderId="20" xfId="0" applyFill="1" applyBorder="1"/>
    <xf numFmtId="166" fontId="0" fillId="8" borderId="0" xfId="4" applyNumberFormat="1" applyFont="1" applyFill="1"/>
    <xf numFmtId="0" fontId="0" fillId="8" borderId="0" xfId="0" applyFill="1"/>
    <xf numFmtId="0" fontId="0" fillId="4" borderId="0" xfId="0" applyFill="1" applyAlignment="1">
      <alignment horizontal="center"/>
    </xf>
    <xf numFmtId="0" fontId="0" fillId="0" borderId="25" xfId="0" applyBorder="1"/>
    <xf numFmtId="165" fontId="0" fillId="0" borderId="25" xfId="0" applyNumberFormat="1" applyBorder="1"/>
    <xf numFmtId="165" fontId="0" fillId="0" borderId="26" xfId="0" applyNumberFormat="1" applyBorder="1"/>
    <xf numFmtId="0" fontId="0" fillId="0" borderId="14" xfId="0" applyBorder="1"/>
    <xf numFmtId="167" fontId="19" fillId="5" borderId="27" xfId="0" applyNumberFormat="1" applyFont="1" applyFill="1" applyBorder="1" applyAlignment="1">
      <alignment horizontal="center"/>
    </xf>
    <xf numFmtId="0" fontId="0" fillId="0" borderId="28" xfId="0" applyBorder="1"/>
    <xf numFmtId="165" fontId="0" fillId="4" borderId="0" xfId="0" applyNumberFormat="1" applyFill="1"/>
    <xf numFmtId="9" fontId="16" fillId="4" borderId="0" xfId="0" applyNumberFormat="1" applyFont="1" applyFill="1"/>
    <xf numFmtId="9" fontId="19" fillId="5" borderId="25" xfId="0" applyNumberFormat="1" applyFont="1" applyFill="1" applyBorder="1" applyAlignment="1">
      <alignment horizontal="center"/>
    </xf>
    <xf numFmtId="0" fontId="0" fillId="0" borderId="3" xfId="0" applyBorder="1"/>
    <xf numFmtId="0" fontId="0" fillId="0" borderId="6" xfId="0" applyBorder="1"/>
    <xf numFmtId="9" fontId="0" fillId="5" borderId="29" xfId="0" applyNumberFormat="1" applyFill="1" applyBorder="1" applyAlignment="1">
      <alignment horizontal="center"/>
    </xf>
    <xf numFmtId="165" fontId="20" fillId="0" borderId="26" xfId="0" applyNumberFormat="1" applyFont="1" applyBorder="1"/>
    <xf numFmtId="166" fontId="19" fillId="5" borderId="25" xfId="0" applyNumberFormat="1" applyFont="1" applyFill="1" applyBorder="1"/>
    <xf numFmtId="0" fontId="0" fillId="0" borderId="26" xfId="0" applyBorder="1" applyAlignment="1">
      <alignment horizontal="left"/>
    </xf>
    <xf numFmtId="0" fontId="0" fillId="0" borderId="30" xfId="0" applyBorder="1"/>
    <xf numFmtId="0" fontId="19" fillId="5" borderId="0" xfId="0" applyFont="1" applyFill="1"/>
    <xf numFmtId="0" fontId="0" fillId="0" borderId="26" xfId="0" applyBorder="1"/>
    <xf numFmtId="10" fontId="19" fillId="5" borderId="25" xfId="0" applyNumberFormat="1" applyFont="1" applyFill="1" applyBorder="1"/>
    <xf numFmtId="165" fontId="0" fillId="0" borderId="31" xfId="0" applyNumberFormat="1" applyBorder="1"/>
    <xf numFmtId="0" fontId="0" fillId="0" borderId="11" xfId="0" applyBorder="1"/>
    <xf numFmtId="165" fontId="0" fillId="0" borderId="32" xfId="0" applyNumberFormat="1" applyBorder="1"/>
    <xf numFmtId="0" fontId="0" fillId="0" borderId="33" xfId="0" applyBorder="1"/>
    <xf numFmtId="44" fontId="16" fillId="0" borderId="0" xfId="4" applyFont="1"/>
    <xf numFmtId="0" fontId="20" fillId="0" borderId="34" xfId="0" applyFont="1" applyBorder="1" applyAlignment="1">
      <alignment horizontal="center"/>
    </xf>
    <xf numFmtId="0" fontId="19" fillId="0" borderId="0" xfId="0" applyFont="1"/>
    <xf numFmtId="0" fontId="19" fillId="9" borderId="0" xfId="0" applyFont="1" applyFill="1"/>
    <xf numFmtId="166" fontId="0" fillId="0" borderId="0" xfId="0" applyNumberFormat="1"/>
    <xf numFmtId="1" fontId="19" fillId="0" borderId="0" xfId="0" applyNumberFormat="1" applyFont="1"/>
    <xf numFmtId="1" fontId="0" fillId="0" borderId="0" xfId="0" applyNumberFormat="1"/>
    <xf numFmtId="1" fontId="20" fillId="0" borderId="0" xfId="0" applyNumberFormat="1" applyFont="1"/>
    <xf numFmtId="0" fontId="0" fillId="10" borderId="0" xfId="0" applyFill="1"/>
    <xf numFmtId="0" fontId="0" fillId="0" borderId="0" xfId="0" applyAlignment="1">
      <alignment horizontal="left"/>
    </xf>
    <xf numFmtId="44" fontId="16" fillId="5" borderId="0" xfId="4" applyFont="1" applyFill="1"/>
    <xf numFmtId="166" fontId="20" fillId="0" borderId="0" xfId="5" applyNumberFormat="1" applyFont="1"/>
    <xf numFmtId="10" fontId="16" fillId="0" borderId="0" xfId="5" applyNumberFormat="1" applyFont="1"/>
    <xf numFmtId="10" fontId="16" fillId="0" borderId="0" xfId="4" applyNumberFormat="1" applyFont="1"/>
    <xf numFmtId="0" fontId="13" fillId="0" borderId="3" xfId="0" applyFont="1" applyBorder="1" applyAlignment="1">
      <alignment horizontal="left" vertical="center"/>
    </xf>
    <xf numFmtId="44" fontId="6" fillId="0" borderId="7" xfId="4" applyFont="1" applyBorder="1"/>
    <xf numFmtId="0" fontId="6" fillId="0" borderId="0" xfId="0" applyFont="1" applyAlignment="1">
      <alignment horizontal="center" wrapText="1"/>
    </xf>
    <xf numFmtId="44" fontId="6" fillId="0" borderId="0" xfId="4" applyFont="1" applyBorder="1" applyAlignment="1">
      <alignment horizontal="left" vertical="center"/>
    </xf>
    <xf numFmtId="0" fontId="18" fillId="0" borderId="0" xfId="0" applyFont="1"/>
    <xf numFmtId="0" fontId="19" fillId="0" borderId="0" xfId="0" applyFont="1" applyAlignment="1">
      <alignment horizontal="center"/>
    </xf>
    <xf numFmtId="3" fontId="19" fillId="0" borderId="0" xfId="0" applyNumberFormat="1" applyFont="1"/>
    <xf numFmtId="0" fontId="20" fillId="0" borderId="0" xfId="0" applyFont="1"/>
    <xf numFmtId="44" fontId="21" fillId="0" borderId="0" xfId="4" applyFont="1" applyBorder="1"/>
    <xf numFmtId="0" fontId="0" fillId="0" borderId="0" xfId="0" applyAlignment="1">
      <alignment horizontal="left" indent="2"/>
    </xf>
    <xf numFmtId="0" fontId="0" fillId="6" borderId="0" xfId="0" applyFill="1"/>
    <xf numFmtId="0" fontId="1" fillId="0" borderId="0" xfId="0" applyFont="1" applyAlignment="1">
      <alignment horizontal="right"/>
    </xf>
    <xf numFmtId="0" fontId="23" fillId="0" borderId="0" xfId="0" applyFont="1"/>
    <xf numFmtId="0" fontId="23" fillId="0" borderId="0" xfId="0" applyFont="1" applyAlignment="1">
      <alignment horizontal="center"/>
    </xf>
    <xf numFmtId="3" fontId="23" fillId="0" borderId="0" xfId="0" applyNumberFormat="1" applyFont="1"/>
    <xf numFmtId="0" fontId="22" fillId="0" borderId="0" xfId="0" applyFont="1"/>
    <xf numFmtId="44" fontId="24" fillId="0" borderId="0" xfId="4" applyFont="1" applyBorder="1"/>
    <xf numFmtId="168" fontId="0" fillId="0" borderId="0" xfId="0" applyNumberFormat="1"/>
    <xf numFmtId="44" fontId="6" fillId="0" borderId="0" xfId="4" applyFont="1" applyBorder="1" applyAlignment="1"/>
    <xf numFmtId="0" fontId="0" fillId="11" borderId="20" xfId="0" applyFill="1" applyBorder="1"/>
    <xf numFmtId="0" fontId="1" fillId="11" borderId="20" xfId="0" applyFont="1" applyFill="1" applyBorder="1"/>
    <xf numFmtId="0" fontId="19" fillId="11" borderId="21" xfId="0" applyFont="1" applyFill="1" applyBorder="1"/>
    <xf numFmtId="0" fontId="19" fillId="11" borderId="22" xfId="0" applyFont="1" applyFill="1" applyBorder="1"/>
    <xf numFmtId="0" fontId="19" fillId="11" borderId="23" xfId="0" applyFont="1" applyFill="1" applyBorder="1"/>
    <xf numFmtId="0" fontId="19" fillId="11" borderId="23" xfId="0" applyFont="1" applyFill="1" applyBorder="1" applyAlignment="1">
      <alignment horizontal="center"/>
    </xf>
    <xf numFmtId="165" fontId="0" fillId="11" borderId="23" xfId="0" applyNumberFormat="1" applyFill="1" applyBorder="1"/>
    <xf numFmtId="3" fontId="19" fillId="11" borderId="24" xfId="0" applyNumberFormat="1" applyFont="1" applyFill="1" applyBorder="1"/>
    <xf numFmtId="0" fontId="20" fillId="11" borderId="22" xfId="0" applyFont="1" applyFill="1" applyBorder="1"/>
    <xf numFmtId="44" fontId="21" fillId="11" borderId="22" xfId="4" applyFont="1" applyFill="1" applyBorder="1"/>
    <xf numFmtId="44" fontId="21" fillId="11" borderId="21" xfId="4" applyFont="1" applyFill="1" applyBorder="1"/>
    <xf numFmtId="165" fontId="0" fillId="11" borderId="19" xfId="0" applyNumberFormat="1" applyFill="1" applyBorder="1"/>
    <xf numFmtId="165" fontId="0" fillId="11" borderId="0" xfId="0" applyNumberFormat="1" applyFill="1"/>
    <xf numFmtId="0" fontId="18" fillId="11" borderId="20" xfId="0" applyFont="1" applyFill="1" applyBorder="1"/>
    <xf numFmtId="0" fontId="0" fillId="11" borderId="19" xfId="0" applyFill="1" applyBorder="1"/>
    <xf numFmtId="0" fontId="0" fillId="11" borderId="0" xfId="0" applyFill="1"/>
    <xf numFmtId="0" fontId="19" fillId="11" borderId="20" xfId="0" applyFont="1" applyFill="1" applyBorder="1"/>
    <xf numFmtId="165" fontId="1" fillId="11" borderId="0" xfId="0" applyNumberFormat="1" applyFont="1" applyFill="1"/>
    <xf numFmtId="0" fontId="22" fillId="11" borderId="20" xfId="0" applyFont="1" applyFill="1" applyBorder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wrapText="1"/>
    </xf>
    <xf numFmtId="44" fontId="9" fillId="0" borderId="0" xfId="0" applyNumberFormat="1" applyFont="1" applyAlignment="1">
      <alignment horizontal="center"/>
    </xf>
    <xf numFmtId="44" fontId="26" fillId="0" borderId="0" xfId="4" applyFont="1" applyBorder="1"/>
    <xf numFmtId="44" fontId="0" fillId="0" borderId="12" xfId="4" applyFont="1" applyBorder="1"/>
    <xf numFmtId="0" fontId="4" fillId="0" borderId="0" xfId="0" applyFont="1"/>
    <xf numFmtId="0" fontId="3" fillId="0" borderId="11" xfId="0" applyFont="1" applyBorder="1" applyAlignment="1">
      <alignment horizontal="center"/>
    </xf>
    <xf numFmtId="44" fontId="3" fillId="0" borderId="12" xfId="4" applyFont="1" applyBorder="1" applyAlignment="1">
      <alignment horizontal="center"/>
    </xf>
    <xf numFmtId="0" fontId="5" fillId="0" borderId="12" xfId="3" applyBorder="1" applyAlignment="1">
      <alignment horizontal="center"/>
    </xf>
    <xf numFmtId="0" fontId="7" fillId="0" borderId="13" xfId="0" applyFont="1" applyBorder="1" applyAlignment="1">
      <alignment horizontal="center"/>
    </xf>
    <xf numFmtId="44" fontId="6" fillId="0" borderId="0" xfId="4" applyFont="1" applyFill="1" applyBorder="1" applyAlignment="1">
      <alignment horizontal="left"/>
    </xf>
    <xf numFmtId="0" fontId="19" fillId="5" borderId="21" xfId="0" applyFont="1" applyFill="1" applyBorder="1"/>
    <xf numFmtId="0" fontId="19" fillId="5" borderId="22" xfId="0" applyFont="1" applyFill="1" applyBorder="1"/>
    <xf numFmtId="0" fontId="19" fillId="5" borderId="23" xfId="0" applyFont="1" applyFill="1" applyBorder="1"/>
    <xf numFmtId="0" fontId="19" fillId="5" borderId="23" xfId="0" applyFont="1" applyFill="1" applyBorder="1" applyAlignment="1">
      <alignment horizontal="center"/>
    </xf>
    <xf numFmtId="165" fontId="0" fillId="5" borderId="23" xfId="0" applyNumberFormat="1" applyFill="1" applyBorder="1"/>
    <xf numFmtId="3" fontId="19" fillId="5" borderId="24" xfId="0" applyNumberFormat="1" applyFont="1" applyFill="1" applyBorder="1"/>
    <xf numFmtId="0" fontId="20" fillId="5" borderId="22" xfId="0" applyFont="1" applyFill="1" applyBorder="1"/>
    <xf numFmtId="44" fontId="21" fillId="5" borderId="22" xfId="4" applyFont="1" applyFill="1" applyBorder="1"/>
    <xf numFmtId="44" fontId="21" fillId="5" borderId="21" xfId="4" applyFont="1" applyFill="1" applyBorder="1"/>
    <xf numFmtId="165" fontId="0" fillId="5" borderId="19" xfId="0" applyNumberFormat="1" applyFill="1" applyBorder="1"/>
    <xf numFmtId="0" fontId="0" fillId="0" borderId="0" xfId="0" applyAlignment="1">
      <alignment wrapText="1"/>
    </xf>
    <xf numFmtId="0" fontId="0" fillId="5" borderId="0" xfId="0" applyFill="1"/>
    <xf numFmtId="44" fontId="0" fillId="5" borderId="0" xfId="0" applyNumberFormat="1" applyFill="1"/>
    <xf numFmtId="44" fontId="0" fillId="10" borderId="0" xfId="4" applyFont="1" applyFill="1"/>
    <xf numFmtId="44" fontId="0" fillId="10" borderId="0" xfId="0" applyNumberFormat="1" applyFill="1"/>
    <xf numFmtId="0" fontId="0" fillId="12" borderId="0" xfId="0" applyFill="1"/>
    <xf numFmtId="44" fontId="0" fillId="12" borderId="0" xfId="0" applyNumberFormat="1" applyFill="1"/>
    <xf numFmtId="0" fontId="0" fillId="5" borderId="0" xfId="0" applyFill="1" applyAlignment="1">
      <alignment horizontal="left" indent="2"/>
    </xf>
    <xf numFmtId="0" fontId="19" fillId="5" borderId="0" xfId="0" applyFont="1" applyFill="1" applyAlignment="1">
      <alignment horizontal="center"/>
    </xf>
    <xf numFmtId="165" fontId="0" fillId="5" borderId="0" xfId="0" applyNumberFormat="1" applyFill="1"/>
    <xf numFmtId="3" fontId="19" fillId="5" borderId="0" xfId="0" applyNumberFormat="1" applyFont="1" applyFill="1"/>
    <xf numFmtId="0" fontId="20" fillId="5" borderId="0" xfId="0" applyFont="1" applyFill="1"/>
    <xf numFmtId="44" fontId="21" fillId="5" borderId="0" xfId="4" applyFont="1" applyFill="1" applyBorder="1"/>
    <xf numFmtId="0" fontId="0" fillId="3" borderId="20" xfId="0" applyFill="1" applyBorder="1"/>
    <xf numFmtId="0" fontId="19" fillId="3" borderId="21" xfId="0" applyFont="1" applyFill="1" applyBorder="1"/>
    <xf numFmtId="0" fontId="19" fillId="3" borderId="22" xfId="0" applyFont="1" applyFill="1" applyBorder="1"/>
    <xf numFmtId="0" fontId="19" fillId="3" borderId="23" xfId="0" applyFont="1" applyFill="1" applyBorder="1"/>
    <xf numFmtId="0" fontId="19" fillId="3" borderId="23" xfId="0" applyFont="1" applyFill="1" applyBorder="1" applyAlignment="1">
      <alignment horizontal="center"/>
    </xf>
    <xf numFmtId="165" fontId="0" fillId="3" borderId="23" xfId="0" applyNumberFormat="1" applyFill="1" applyBorder="1"/>
    <xf numFmtId="3" fontId="19" fillId="3" borderId="24" xfId="0" applyNumberFormat="1" applyFont="1" applyFill="1" applyBorder="1"/>
    <xf numFmtId="0" fontId="20" fillId="3" borderId="22" xfId="0" applyFont="1" applyFill="1" applyBorder="1"/>
    <xf numFmtId="44" fontId="21" fillId="3" borderId="22" xfId="4" applyFont="1" applyFill="1" applyBorder="1"/>
    <xf numFmtId="44" fontId="21" fillId="3" borderId="21" xfId="4" applyFont="1" applyFill="1" applyBorder="1"/>
    <xf numFmtId="165" fontId="0" fillId="3" borderId="19" xfId="0" applyNumberFormat="1" applyFill="1" applyBorder="1"/>
    <xf numFmtId="0" fontId="10" fillId="0" borderId="6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8" fillId="0" borderId="6" xfId="0" applyFont="1" applyBorder="1" applyAlignment="1">
      <alignment horizontal="left"/>
    </xf>
    <xf numFmtId="0" fontId="28" fillId="0" borderId="0" xfId="0" applyFont="1" applyAlignment="1">
      <alignment horizontal="left"/>
    </xf>
    <xf numFmtId="164" fontId="1" fillId="0" borderId="2" xfId="0" applyNumberFormat="1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0" fontId="10" fillId="3" borderId="6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" xfId="0" applyFont="1" applyFill="1" applyBorder="1" applyAlignment="1">
      <alignment horizontal="center"/>
    </xf>
    <xf numFmtId="0" fontId="14" fillId="4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</cellXfs>
  <cellStyles count="6">
    <cellStyle name="Currency" xfId="4" builtinId="4"/>
    <cellStyle name="Currency 2" xfId="2" xr:uid="{00000000-0005-0000-0000-000001000000}"/>
    <cellStyle name="Hyperlink" xfId="3" builtinId="8"/>
    <cellStyle name="Normal" xfId="0" builtinId="0"/>
    <cellStyle name="Normal 2" xfId="1" xr:uid="{00000000-0005-0000-0000-000004000000}"/>
    <cellStyle name="Percent" xfId="5" builtinId="5"/>
  </cellStyles>
  <dxfs count="25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574285</xdr:colOff>
      <xdr:row>0</xdr:row>
      <xdr:rowOff>71782</xdr:rowOff>
    </xdr:from>
    <xdr:to>
      <xdr:col>2</xdr:col>
      <xdr:colOff>1830008</xdr:colOff>
      <xdr:row>0</xdr:row>
      <xdr:rowOff>1087783</xdr:rowOff>
    </xdr:to>
    <xdr:pic>
      <xdr:nvPicPr>
        <xdr:cNvPr id="2" name="Picture 1" descr="A picture containing text, clipart, sign&#10;&#10;Description automatically generated">
          <a:extLst>
            <a:ext uri="{FF2B5EF4-FFF2-40B4-BE49-F238E27FC236}">
              <a16:creationId xmlns:a16="http://schemas.microsoft.com/office/drawing/2014/main" id="{27AC8880-B252-43BD-B8DC-0DDD6B9C8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6385" y="69877"/>
          <a:ext cx="3741748" cy="1014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taylor@alleatogroup.com" TargetMode="External"/><Relationship Id="rId1" Type="http://schemas.openxmlformats.org/officeDocument/2006/relationships/hyperlink" Target="mailto:bclymer@alleatogroup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2E716-E06F-4FAE-9967-DD5C73655BD5}">
  <sheetPr>
    <pageSetUpPr fitToPage="1"/>
  </sheetPr>
  <dimension ref="A1:M250"/>
  <sheetViews>
    <sheetView tabSelected="1" zoomScale="80" zoomScaleNormal="80" workbookViewId="0">
      <selection activeCell="H83" sqref="H83"/>
    </sheetView>
  </sheetViews>
  <sheetFormatPr defaultRowHeight="15" x14ac:dyDescent="0.25"/>
  <cols>
    <col min="1" max="1" width="22.5703125" style="27" bestFit="1" customWidth="1"/>
    <col min="2" max="2" width="37.5703125" style="3" customWidth="1"/>
    <col min="3" max="3" width="49.42578125" customWidth="1"/>
    <col min="4" max="4" width="19.5703125" customWidth="1"/>
    <col min="5" max="5" width="12.140625" customWidth="1"/>
    <col min="6" max="6" width="8.5703125" customWidth="1"/>
    <col min="7" max="7" width="5.5703125" style="25" customWidth="1"/>
    <col min="8" max="8" width="19" customWidth="1"/>
    <col min="9" max="9" width="15" customWidth="1"/>
    <col min="10" max="10" width="14.85546875" customWidth="1"/>
    <col min="11" max="11" width="17.42578125" customWidth="1"/>
    <col min="12" max="12" width="13" customWidth="1"/>
    <col min="13" max="13" width="16.5703125" customWidth="1"/>
  </cols>
  <sheetData>
    <row r="1" spans="1:13" ht="93.75" customHeight="1" x14ac:dyDescent="0.25">
      <c r="A1" s="225"/>
      <c r="B1" s="226"/>
      <c r="C1" s="226"/>
      <c r="D1" s="227"/>
    </row>
    <row r="2" spans="1:13" ht="15.75" thickBot="1" x14ac:dyDescent="0.3">
      <c r="A2" s="228" t="s">
        <v>251</v>
      </c>
      <c r="B2" s="229"/>
      <c r="C2" s="230" t="s">
        <v>252</v>
      </c>
      <c r="D2" s="231"/>
      <c r="I2" s="40"/>
      <c r="K2" s="3"/>
      <c r="M2" s="40"/>
    </row>
    <row r="3" spans="1:13" ht="19.5" customHeight="1" thickTop="1" x14ac:dyDescent="0.25">
      <c r="A3" s="232" t="s">
        <v>0</v>
      </c>
      <c r="B3" s="233"/>
      <c r="C3" s="233"/>
      <c r="D3" s="234"/>
      <c r="I3" s="40"/>
      <c r="K3" s="3"/>
      <c r="M3" s="40"/>
    </row>
    <row r="4" spans="1:13" ht="10.5" customHeight="1" x14ac:dyDescent="0.25">
      <c r="A4" s="235"/>
      <c r="B4" s="236"/>
      <c r="C4" s="182"/>
      <c r="D4" s="8"/>
      <c r="M4" s="40"/>
    </row>
    <row r="5" spans="1:13" ht="15" customHeight="1" thickBot="1" x14ac:dyDescent="0.3">
      <c r="A5" s="183" t="s">
        <v>1</v>
      </c>
      <c r="B5" s="184" t="s">
        <v>230</v>
      </c>
      <c r="C5" s="185" t="s">
        <v>231</v>
      </c>
      <c r="D5" s="186" t="s">
        <v>232</v>
      </c>
      <c r="I5" s="40"/>
      <c r="K5" s="40"/>
      <c r="M5" s="40"/>
    </row>
    <row r="6" spans="1:13" ht="15.75" thickBot="1" x14ac:dyDescent="0.3">
      <c r="A6" s="183" t="s">
        <v>1</v>
      </c>
      <c r="B6" s="184" t="s">
        <v>205</v>
      </c>
      <c r="C6" s="185" t="s">
        <v>206</v>
      </c>
      <c r="D6" s="186" t="s">
        <v>207</v>
      </c>
      <c r="I6" s="40"/>
    </row>
    <row r="7" spans="1:13" x14ac:dyDescent="0.25">
      <c r="A7" s="9" t="s">
        <v>2</v>
      </c>
      <c r="B7" s="237" t="str">
        <f>A2</f>
        <v>Ulta Beauty Fresno DC New RTUs R6</v>
      </c>
      <c r="C7" s="237"/>
      <c r="D7" s="238"/>
      <c r="I7" s="40"/>
    </row>
    <row r="8" spans="1:13" x14ac:dyDescent="0.25">
      <c r="A8" s="9" t="s">
        <v>3</v>
      </c>
      <c r="B8" s="237" t="s">
        <v>233</v>
      </c>
      <c r="C8" s="237"/>
      <c r="D8" s="238"/>
    </row>
    <row r="9" spans="1:13" ht="16.5" customHeight="1" x14ac:dyDescent="0.25">
      <c r="A9" s="10"/>
      <c r="B9" s="11"/>
      <c r="D9" s="12"/>
      <c r="I9" s="40"/>
    </row>
    <row r="10" spans="1:13" ht="18" x14ac:dyDescent="0.25">
      <c r="A10" s="222" t="s">
        <v>4</v>
      </c>
      <c r="B10" s="223"/>
      <c r="C10" s="223"/>
      <c r="D10" s="224"/>
    </row>
    <row r="11" spans="1:13" ht="15.75" x14ac:dyDescent="0.25">
      <c r="A11" s="13" t="s">
        <v>5</v>
      </c>
      <c r="B11" s="14">
        <f>'General Conditions'!C27</f>
        <v>163252</v>
      </c>
      <c r="C11" s="2"/>
      <c r="D11" s="15"/>
      <c r="I11" s="40"/>
    </row>
    <row r="12" spans="1:13" ht="18" hidden="1" x14ac:dyDescent="0.25">
      <c r="A12" s="222" t="s">
        <v>6</v>
      </c>
      <c r="B12" s="223"/>
      <c r="C12" s="223"/>
      <c r="D12" s="224"/>
    </row>
    <row r="13" spans="1:13" ht="15.75" hidden="1" x14ac:dyDescent="0.25">
      <c r="A13" s="16"/>
      <c r="B13" s="17">
        <f>QuantityTakeoff!Y23</f>
        <v>0</v>
      </c>
      <c r="C13" s="21" t="s">
        <v>7</v>
      </c>
      <c r="D13" s="15"/>
    </row>
    <row r="14" spans="1:13" hidden="1" x14ac:dyDescent="0.25">
      <c r="A14" s="16"/>
      <c r="B14" s="17">
        <v>0</v>
      </c>
      <c r="C14" s="2"/>
      <c r="D14" s="15"/>
    </row>
    <row r="15" spans="1:13" ht="15.75" hidden="1" x14ac:dyDescent="0.25">
      <c r="A15" s="13" t="s">
        <v>5</v>
      </c>
      <c r="B15" s="18">
        <f>SUBTOTAL(9,B13:B14)</f>
        <v>0</v>
      </c>
      <c r="C15" s="2"/>
      <c r="D15" s="15"/>
    </row>
    <row r="16" spans="1:13" ht="18" hidden="1" x14ac:dyDescent="0.25">
      <c r="A16" s="239" t="s">
        <v>8</v>
      </c>
      <c r="B16" s="240"/>
      <c r="C16" s="240"/>
      <c r="D16" s="241"/>
    </row>
    <row r="17" spans="1:4" ht="15.75" hidden="1" x14ac:dyDescent="0.25">
      <c r="A17" s="16"/>
      <c r="B17" s="17">
        <f>QuantityTakeoff!Y26</f>
        <v>0</v>
      </c>
      <c r="C17" s="21" t="s">
        <v>7</v>
      </c>
      <c r="D17" s="15"/>
    </row>
    <row r="18" spans="1:4" hidden="1" x14ac:dyDescent="0.25">
      <c r="A18" s="16"/>
      <c r="B18" s="17">
        <v>0</v>
      </c>
      <c r="C18" s="2"/>
      <c r="D18" s="15"/>
    </row>
    <row r="19" spans="1:4" ht="15.75" hidden="1" x14ac:dyDescent="0.25">
      <c r="A19" s="13" t="s">
        <v>5</v>
      </c>
      <c r="B19" s="14">
        <f>SUBTOTAL(9,B17:B18)</f>
        <v>0</v>
      </c>
      <c r="C19" s="2"/>
      <c r="D19" s="15"/>
    </row>
    <row r="20" spans="1:4" ht="18" hidden="1" x14ac:dyDescent="0.25">
      <c r="A20" s="222" t="s">
        <v>9</v>
      </c>
      <c r="B20" s="223"/>
      <c r="C20" s="223"/>
      <c r="D20" s="224"/>
    </row>
    <row r="21" spans="1:4" hidden="1" x14ac:dyDescent="0.25">
      <c r="A21" s="16" t="s">
        <v>10</v>
      </c>
      <c r="B21" s="17"/>
      <c r="C21" s="2" t="s">
        <v>11</v>
      </c>
      <c r="D21" s="15"/>
    </row>
    <row r="22" spans="1:4" hidden="1" x14ac:dyDescent="0.25">
      <c r="A22" s="16"/>
      <c r="B22" s="17"/>
      <c r="C22" s="2"/>
      <c r="D22" s="15"/>
    </row>
    <row r="23" spans="1:4" ht="15.75" hidden="1" x14ac:dyDescent="0.25">
      <c r="A23" s="13" t="s">
        <v>5</v>
      </c>
      <c r="B23" s="14">
        <f>SUBTOTAL(9,B21:B22)</f>
        <v>0</v>
      </c>
      <c r="C23" s="2"/>
      <c r="D23" s="15"/>
    </row>
    <row r="24" spans="1:4" ht="18" hidden="1" x14ac:dyDescent="0.25">
      <c r="A24" s="222" t="s">
        <v>12</v>
      </c>
      <c r="B24" s="223"/>
      <c r="C24" s="223"/>
      <c r="D24" s="224"/>
    </row>
    <row r="25" spans="1:4" ht="15.75" hidden="1" x14ac:dyDescent="0.25">
      <c r="A25" s="16" t="s">
        <v>13</v>
      </c>
      <c r="B25" s="17">
        <f>QuantityTakeoff!Y33</f>
        <v>0</v>
      </c>
      <c r="C25" s="21" t="s">
        <v>7</v>
      </c>
      <c r="D25" s="15"/>
    </row>
    <row r="26" spans="1:4" hidden="1" x14ac:dyDescent="0.25">
      <c r="A26" s="16"/>
      <c r="B26" s="17">
        <v>0</v>
      </c>
      <c r="C26" s="2"/>
      <c r="D26" s="15"/>
    </row>
    <row r="27" spans="1:4" ht="15.75" hidden="1" x14ac:dyDescent="0.25">
      <c r="A27" s="13" t="s">
        <v>5</v>
      </c>
      <c r="B27" s="14">
        <f>SUBTOTAL(9,B25:B26)</f>
        <v>0</v>
      </c>
      <c r="C27" s="2"/>
      <c r="D27" s="15"/>
    </row>
    <row r="28" spans="1:4" ht="18" x14ac:dyDescent="0.25">
      <c r="A28" s="222" t="s">
        <v>14</v>
      </c>
      <c r="B28" s="223"/>
      <c r="C28" s="223"/>
      <c r="D28" s="224"/>
    </row>
    <row r="29" spans="1:4" ht="15.75" hidden="1" x14ac:dyDescent="0.25">
      <c r="A29" s="16"/>
      <c r="B29" s="17">
        <f>QuantityTakeoff!Y36</f>
        <v>247500</v>
      </c>
      <c r="C29" s="21" t="s">
        <v>7</v>
      </c>
      <c r="D29" s="15"/>
    </row>
    <row r="30" spans="1:4" hidden="1" x14ac:dyDescent="0.25">
      <c r="A30" s="16"/>
      <c r="B30" s="17">
        <v>0</v>
      </c>
      <c r="C30" s="2"/>
      <c r="D30" s="15"/>
    </row>
    <row r="31" spans="1:4" hidden="1" x14ac:dyDescent="0.25">
      <c r="A31" s="16"/>
      <c r="B31" s="17">
        <v>0</v>
      </c>
      <c r="C31" s="2"/>
      <c r="D31" s="15"/>
    </row>
    <row r="32" spans="1:4" ht="15.75" x14ac:dyDescent="0.25">
      <c r="A32" s="13" t="s">
        <v>5</v>
      </c>
      <c r="B32" s="14">
        <f>SUBTOTAL(9,B29:B30)</f>
        <v>247500</v>
      </c>
      <c r="C32" s="2"/>
      <c r="D32" s="15"/>
    </row>
    <row r="33" spans="1:4" ht="18" hidden="1" x14ac:dyDescent="0.25">
      <c r="A33" s="222" t="s">
        <v>15</v>
      </c>
      <c r="B33" s="223"/>
      <c r="C33" s="223"/>
      <c r="D33" s="224"/>
    </row>
    <row r="34" spans="1:4" ht="15.75" hidden="1" x14ac:dyDescent="0.25">
      <c r="A34" s="16"/>
      <c r="B34" s="17">
        <f>QuantityTakeoff!Y41</f>
        <v>0</v>
      </c>
      <c r="C34" s="21" t="s">
        <v>7</v>
      </c>
      <c r="D34" s="15"/>
    </row>
    <row r="35" spans="1:4" hidden="1" x14ac:dyDescent="0.25">
      <c r="A35" s="16"/>
      <c r="B35" s="17">
        <v>0</v>
      </c>
      <c r="C35" s="2"/>
      <c r="D35" s="15"/>
    </row>
    <row r="36" spans="1:4" ht="15.75" hidden="1" x14ac:dyDescent="0.25">
      <c r="A36" s="13" t="s">
        <v>5</v>
      </c>
      <c r="B36" s="14">
        <f>SUBTOTAL(9,B34:B35)</f>
        <v>0</v>
      </c>
      <c r="C36" s="2"/>
      <c r="D36" s="15"/>
    </row>
    <row r="37" spans="1:4" ht="18" x14ac:dyDescent="0.25">
      <c r="A37" s="222" t="s">
        <v>16</v>
      </c>
      <c r="B37" s="223"/>
      <c r="C37" s="223"/>
      <c r="D37" s="224"/>
    </row>
    <row r="38" spans="1:4" ht="15.75" hidden="1" x14ac:dyDescent="0.25">
      <c r="A38" s="16"/>
      <c r="B38" s="17">
        <f>QuantityTakeoff!Y49</f>
        <v>72000</v>
      </c>
      <c r="C38" s="21" t="s">
        <v>7</v>
      </c>
      <c r="D38" s="15"/>
    </row>
    <row r="39" spans="1:4" hidden="1" x14ac:dyDescent="0.25">
      <c r="A39" s="16"/>
      <c r="B39" s="17">
        <v>0</v>
      </c>
      <c r="C39" s="2"/>
      <c r="D39" s="15"/>
    </row>
    <row r="40" spans="1:4" hidden="1" x14ac:dyDescent="0.25">
      <c r="A40" s="16"/>
      <c r="B40" s="17">
        <v>0</v>
      </c>
      <c r="C40" s="2"/>
      <c r="D40" s="15"/>
    </row>
    <row r="41" spans="1:4" hidden="1" x14ac:dyDescent="0.25">
      <c r="A41" s="16"/>
      <c r="B41" s="17">
        <v>0</v>
      </c>
      <c r="C41" s="2"/>
      <c r="D41" s="15"/>
    </row>
    <row r="42" spans="1:4" ht="15.75" x14ac:dyDescent="0.25">
      <c r="A42" s="13" t="s">
        <v>5</v>
      </c>
      <c r="B42" s="14">
        <f>SUBTOTAL(9,B38:B41)</f>
        <v>72000</v>
      </c>
      <c r="C42" s="2"/>
      <c r="D42" s="15"/>
    </row>
    <row r="43" spans="1:4" ht="18" hidden="1" x14ac:dyDescent="0.25">
      <c r="A43" s="222" t="s">
        <v>17</v>
      </c>
      <c r="B43" s="223"/>
      <c r="C43" s="223"/>
      <c r="D43" s="224"/>
    </row>
    <row r="44" spans="1:4" hidden="1" x14ac:dyDescent="0.25">
      <c r="A44" s="16"/>
      <c r="B44" s="17">
        <f>QuantityTakeoff!Y60</f>
        <v>0</v>
      </c>
      <c r="C44" s="2"/>
      <c r="D44" s="15"/>
    </row>
    <row r="45" spans="1:4" hidden="1" x14ac:dyDescent="0.25">
      <c r="A45" s="16"/>
      <c r="B45" s="17">
        <v>0</v>
      </c>
      <c r="C45" s="2"/>
      <c r="D45" s="15"/>
    </row>
    <row r="46" spans="1:4" hidden="1" x14ac:dyDescent="0.25">
      <c r="A46" s="16"/>
      <c r="B46" s="17">
        <v>0</v>
      </c>
      <c r="C46" s="2"/>
      <c r="D46" s="15"/>
    </row>
    <row r="47" spans="1:4" hidden="1" x14ac:dyDescent="0.25">
      <c r="A47" s="16"/>
      <c r="B47" s="17">
        <v>0</v>
      </c>
      <c r="C47" s="2"/>
      <c r="D47" s="15"/>
    </row>
    <row r="48" spans="1:4" ht="15.75" hidden="1" x14ac:dyDescent="0.25">
      <c r="A48" s="13" t="s">
        <v>5</v>
      </c>
      <c r="B48" s="14">
        <f>SUBTOTAL(9,B44:B47)</f>
        <v>0</v>
      </c>
      <c r="C48" s="2"/>
      <c r="D48" s="15"/>
    </row>
    <row r="49" spans="1:4" ht="19.350000000000001" hidden="1" customHeight="1" x14ac:dyDescent="0.25">
      <c r="A49" s="222" t="s">
        <v>18</v>
      </c>
      <c r="B49" s="223"/>
      <c r="C49" s="223"/>
      <c r="D49" s="224"/>
    </row>
    <row r="50" spans="1:4" hidden="1" x14ac:dyDescent="0.25">
      <c r="A50" s="16"/>
      <c r="B50" s="17">
        <v>0</v>
      </c>
      <c r="C50" s="2"/>
      <c r="D50" s="15"/>
    </row>
    <row r="51" spans="1:4" hidden="1" x14ac:dyDescent="0.25">
      <c r="A51" s="16"/>
      <c r="B51" s="17">
        <f>QuantityTakeoff!Y67</f>
        <v>0</v>
      </c>
      <c r="C51" s="2"/>
      <c r="D51" s="15"/>
    </row>
    <row r="52" spans="1:4" hidden="1" x14ac:dyDescent="0.25">
      <c r="A52" s="16" t="s">
        <v>19</v>
      </c>
      <c r="B52" s="187"/>
      <c r="C52" s="2"/>
      <c r="D52" s="15"/>
    </row>
    <row r="53" spans="1:4" hidden="1" x14ac:dyDescent="0.25">
      <c r="A53" s="16"/>
      <c r="B53" s="17">
        <v>0</v>
      </c>
      <c r="C53" s="2"/>
      <c r="D53" s="15"/>
    </row>
    <row r="54" spans="1:4" hidden="1" x14ac:dyDescent="0.25">
      <c r="A54" s="16"/>
      <c r="B54" s="17">
        <v>0</v>
      </c>
      <c r="C54" s="2"/>
      <c r="D54" s="15"/>
    </row>
    <row r="55" spans="1:4" hidden="1" x14ac:dyDescent="0.25">
      <c r="A55" s="16"/>
      <c r="B55" s="17">
        <v>0</v>
      </c>
      <c r="C55" s="2"/>
      <c r="D55" s="15"/>
    </row>
    <row r="56" spans="1:4" ht="15.75" hidden="1" x14ac:dyDescent="0.25">
      <c r="A56" s="13" t="s">
        <v>5</v>
      </c>
      <c r="B56" s="14">
        <f>ROUNDUP(SUBTOTAL(9,B50:B55), 0)</f>
        <v>0</v>
      </c>
      <c r="C56" s="2"/>
      <c r="D56" s="15"/>
    </row>
    <row r="57" spans="1:4" ht="18" hidden="1" x14ac:dyDescent="0.25">
      <c r="A57" s="222" t="s">
        <v>20</v>
      </c>
      <c r="B57" s="223"/>
      <c r="C57" s="223"/>
      <c r="D57" s="224"/>
    </row>
    <row r="58" spans="1:4" hidden="1" x14ac:dyDescent="0.25">
      <c r="A58" s="16"/>
      <c r="B58" s="17">
        <f>QuantityTakeoff!Y75</f>
        <v>0</v>
      </c>
      <c r="C58" s="2"/>
      <c r="D58" s="15"/>
    </row>
    <row r="59" spans="1:4" hidden="1" x14ac:dyDescent="0.25">
      <c r="A59" s="16"/>
      <c r="B59" s="17">
        <v>0</v>
      </c>
      <c r="C59" s="2"/>
      <c r="D59" s="15"/>
    </row>
    <row r="60" spans="1:4" hidden="1" x14ac:dyDescent="0.25">
      <c r="A60" s="16"/>
      <c r="B60" s="17">
        <v>0</v>
      </c>
      <c r="C60" s="2"/>
      <c r="D60" s="15"/>
    </row>
    <row r="61" spans="1:4" ht="15.75" hidden="1" x14ac:dyDescent="0.25">
      <c r="A61" s="13" t="s">
        <v>5</v>
      </c>
      <c r="B61" s="14">
        <f>SUBTOTAL(9,B58:B60)</f>
        <v>0</v>
      </c>
      <c r="C61" s="2"/>
      <c r="D61" s="15"/>
    </row>
    <row r="62" spans="1:4" ht="18" hidden="1" x14ac:dyDescent="0.25">
      <c r="A62" s="222" t="s">
        <v>21</v>
      </c>
      <c r="B62" s="223"/>
      <c r="C62" s="223"/>
      <c r="D62" s="224"/>
    </row>
    <row r="63" spans="1:4" hidden="1" x14ac:dyDescent="0.25">
      <c r="A63" s="16"/>
      <c r="B63" s="17">
        <v>0</v>
      </c>
      <c r="C63" s="2"/>
      <c r="D63" s="15"/>
    </row>
    <row r="64" spans="1:4" hidden="1" x14ac:dyDescent="0.25">
      <c r="A64" s="16"/>
      <c r="B64" s="17">
        <v>0</v>
      </c>
      <c r="C64" s="2"/>
      <c r="D64" s="15"/>
    </row>
    <row r="65" spans="1:8" hidden="1" x14ac:dyDescent="0.25">
      <c r="A65" s="16"/>
      <c r="B65" s="17">
        <v>0</v>
      </c>
      <c r="C65" s="2"/>
      <c r="D65" s="15"/>
    </row>
    <row r="66" spans="1:8" hidden="1" x14ac:dyDescent="0.25">
      <c r="A66" s="16"/>
      <c r="B66" s="17">
        <v>0</v>
      </c>
      <c r="C66" s="2"/>
      <c r="D66" s="15"/>
    </row>
    <row r="67" spans="1:8" ht="15.75" hidden="1" x14ac:dyDescent="0.25">
      <c r="A67" s="13" t="s">
        <v>5</v>
      </c>
      <c r="B67" s="14">
        <f>SUBTOTAL(9,B63:B66)</f>
        <v>0</v>
      </c>
      <c r="C67" s="2"/>
      <c r="D67" s="15"/>
    </row>
    <row r="68" spans="1:8" ht="18" hidden="1" x14ac:dyDescent="0.25">
      <c r="A68" s="222" t="s">
        <v>22</v>
      </c>
      <c r="B68" s="223"/>
      <c r="C68" s="223"/>
      <c r="D68" s="224"/>
    </row>
    <row r="69" spans="1:8" hidden="1" x14ac:dyDescent="0.25">
      <c r="A69" s="16"/>
      <c r="B69" s="17">
        <f>QuantityTakeoff!Y79</f>
        <v>0</v>
      </c>
      <c r="C69" s="2"/>
      <c r="D69" s="15"/>
    </row>
    <row r="70" spans="1:8" hidden="1" x14ac:dyDescent="0.25">
      <c r="A70" s="16"/>
      <c r="B70" s="17">
        <v>0</v>
      </c>
      <c r="C70" s="2"/>
      <c r="D70" s="15"/>
    </row>
    <row r="71" spans="1:8" ht="15.75" hidden="1" x14ac:dyDescent="0.25">
      <c r="A71" s="13" t="s">
        <v>5</v>
      </c>
      <c r="B71" s="14">
        <f>SUBTOTAL(9,B69:B70)</f>
        <v>0</v>
      </c>
      <c r="C71" s="2"/>
      <c r="D71" s="15"/>
    </row>
    <row r="72" spans="1:8" ht="18" x14ac:dyDescent="0.25">
      <c r="A72" s="222" t="s">
        <v>23</v>
      </c>
      <c r="B72" s="223"/>
      <c r="C72" s="223"/>
      <c r="D72" s="224"/>
    </row>
    <row r="73" spans="1:8" hidden="1" x14ac:dyDescent="0.25">
      <c r="A73" s="16"/>
      <c r="B73" s="17">
        <f>QuantityTakeoff!Y80</f>
        <v>23500</v>
      </c>
      <c r="C73" s="2"/>
      <c r="D73" s="15"/>
    </row>
    <row r="74" spans="1:8" hidden="1" x14ac:dyDescent="0.25">
      <c r="A74" s="16"/>
      <c r="B74" s="17">
        <v>0</v>
      </c>
      <c r="C74" s="2"/>
      <c r="D74" s="15"/>
    </row>
    <row r="75" spans="1:8" ht="15.75" x14ac:dyDescent="0.25">
      <c r="A75" s="13" t="s">
        <v>5</v>
      </c>
      <c r="B75" s="14">
        <f>SUBTOTAL(9,B73:B74)</f>
        <v>23500</v>
      </c>
      <c r="C75" s="2"/>
      <c r="D75" s="15"/>
    </row>
    <row r="76" spans="1:8" ht="18" x14ac:dyDescent="0.25">
      <c r="A76" s="222" t="s">
        <v>24</v>
      </c>
      <c r="B76" s="223"/>
      <c r="C76" s="223"/>
      <c r="D76" s="224"/>
    </row>
    <row r="77" spans="1:8" hidden="1" x14ac:dyDescent="0.25">
      <c r="A77" s="16"/>
      <c r="B77" s="17">
        <f>QuantityTakeoff!Y82</f>
        <v>92500</v>
      </c>
      <c r="C77" s="2"/>
      <c r="D77" s="15"/>
    </row>
    <row r="78" spans="1:8" hidden="1" x14ac:dyDescent="0.25">
      <c r="A78" s="16"/>
      <c r="B78" s="17">
        <v>0</v>
      </c>
      <c r="C78" s="2"/>
      <c r="D78" s="15"/>
    </row>
    <row r="79" spans="1:8" ht="15.75" x14ac:dyDescent="0.25">
      <c r="A79" s="13" t="s">
        <v>5</v>
      </c>
      <c r="B79" s="14">
        <f>ROUNDUP(SUBTOTAL(9,B77),0)</f>
        <v>92500</v>
      </c>
      <c r="C79" s="2"/>
      <c r="D79" s="15"/>
    </row>
    <row r="80" spans="1:8" ht="18" x14ac:dyDescent="0.25">
      <c r="A80" s="222" t="s">
        <v>25</v>
      </c>
      <c r="B80" s="223"/>
      <c r="C80" s="223"/>
      <c r="D80" s="224"/>
      <c r="H80" s="40">
        <f>B83-530000</f>
        <v>943000</v>
      </c>
    </row>
    <row r="81" spans="1:5" hidden="1" x14ac:dyDescent="0.25">
      <c r="A81" s="16"/>
      <c r="B81" s="17">
        <f>QuantityTakeoff!Y87</f>
        <v>1473000</v>
      </c>
      <c r="C81" s="2"/>
      <c r="D81" s="15"/>
    </row>
    <row r="82" spans="1:5" hidden="1" x14ac:dyDescent="0.25">
      <c r="A82" s="16"/>
      <c r="B82" s="17">
        <v>0</v>
      </c>
      <c r="C82" s="2"/>
      <c r="D82" s="15"/>
    </row>
    <row r="83" spans="1:5" ht="15.75" x14ac:dyDescent="0.25">
      <c r="A83" s="13" t="s">
        <v>5</v>
      </c>
      <c r="B83" s="14">
        <f>SUBTOTAL(9,B81)</f>
        <v>1473000</v>
      </c>
      <c r="C83" s="2"/>
      <c r="D83" s="15"/>
    </row>
    <row r="84" spans="1:5" ht="18" x14ac:dyDescent="0.25">
      <c r="A84" s="222" t="s">
        <v>26</v>
      </c>
      <c r="B84" s="223"/>
      <c r="C84" s="223"/>
      <c r="D84" s="224"/>
    </row>
    <row r="85" spans="1:5" hidden="1" x14ac:dyDescent="0.25">
      <c r="A85" s="16"/>
      <c r="B85" s="17">
        <f>QuantityTakeoff!Y93</f>
        <v>863000</v>
      </c>
      <c r="C85" s="2"/>
      <c r="D85" s="15"/>
    </row>
    <row r="86" spans="1:5" hidden="1" x14ac:dyDescent="0.25">
      <c r="A86" s="16"/>
      <c r="B86" s="17">
        <v>0</v>
      </c>
      <c r="C86" s="2"/>
      <c r="D86" s="15"/>
    </row>
    <row r="87" spans="1:5" ht="15.75" x14ac:dyDescent="0.25">
      <c r="A87" s="13" t="s">
        <v>5</v>
      </c>
      <c r="B87" s="14">
        <f>SUBTOTAL(9,B85)</f>
        <v>863000</v>
      </c>
      <c r="C87" s="2"/>
      <c r="D87" s="15"/>
      <c r="E87" s="3">
        <f>QuantityTakeoff!Y107</f>
        <v>0</v>
      </c>
    </row>
    <row r="88" spans="1:5" ht="18" hidden="1" x14ac:dyDescent="0.25">
      <c r="A88" s="222" t="s">
        <v>27</v>
      </c>
      <c r="B88" s="223"/>
      <c r="C88" s="223"/>
      <c r="D88" s="224"/>
    </row>
    <row r="89" spans="1:5" hidden="1" x14ac:dyDescent="0.25">
      <c r="A89" s="16"/>
      <c r="B89" s="17"/>
      <c r="C89" s="2"/>
      <c r="D89" s="15"/>
    </row>
    <row r="90" spans="1:5" hidden="1" x14ac:dyDescent="0.25">
      <c r="A90" s="16"/>
      <c r="B90" s="17"/>
      <c r="C90" s="2"/>
      <c r="D90" s="15"/>
    </row>
    <row r="91" spans="1:5" ht="15.75" hidden="1" x14ac:dyDescent="0.25">
      <c r="A91" s="13" t="s">
        <v>5</v>
      </c>
      <c r="B91" s="14">
        <f>SUBTOTAL(9,B89)</f>
        <v>0</v>
      </c>
      <c r="C91" s="2"/>
      <c r="D91" s="15"/>
    </row>
    <row r="92" spans="1:5" ht="18" hidden="1" x14ac:dyDescent="0.25">
      <c r="A92" s="222" t="s">
        <v>28</v>
      </c>
      <c r="B92" s="223"/>
      <c r="C92" s="223"/>
      <c r="D92" s="224"/>
    </row>
    <row r="93" spans="1:5" ht="18" hidden="1" x14ac:dyDescent="0.25">
      <c r="A93" s="16"/>
      <c r="B93" s="17">
        <f>QuantityTakeoff!Y111</f>
        <v>0</v>
      </c>
      <c r="C93" s="2"/>
      <c r="D93" s="26"/>
    </row>
    <row r="94" spans="1:5" ht="18" hidden="1" x14ac:dyDescent="0.25">
      <c r="A94" s="16"/>
      <c r="B94" s="17"/>
      <c r="C94" s="2"/>
      <c r="D94" s="26"/>
    </row>
    <row r="95" spans="1:5" ht="15.75" hidden="1" x14ac:dyDescent="0.25">
      <c r="A95" s="13" t="s">
        <v>5</v>
      </c>
      <c r="B95" s="14">
        <f>SUBTOTAL(9,B93:B94)</f>
        <v>0</v>
      </c>
      <c r="C95" s="2"/>
      <c r="D95" s="15"/>
    </row>
    <row r="96" spans="1:5" ht="18" hidden="1" x14ac:dyDescent="0.25">
      <c r="A96" s="222" t="s">
        <v>29</v>
      </c>
      <c r="B96" s="223"/>
      <c r="C96" s="223"/>
      <c r="D96" s="224"/>
    </row>
    <row r="97" spans="1:4" hidden="1" x14ac:dyDescent="0.25">
      <c r="A97" s="16"/>
      <c r="B97" s="17">
        <f>QuantityTakeoff!Y113</f>
        <v>0</v>
      </c>
      <c r="C97" s="2"/>
      <c r="D97" s="15"/>
    </row>
    <row r="98" spans="1:4" hidden="1" x14ac:dyDescent="0.25">
      <c r="A98" s="16"/>
      <c r="B98" s="17">
        <v>0</v>
      </c>
      <c r="C98" s="2"/>
      <c r="D98" s="15"/>
    </row>
    <row r="99" spans="1:4" hidden="1" x14ac:dyDescent="0.25">
      <c r="A99" s="16"/>
      <c r="B99" s="17">
        <v>0</v>
      </c>
      <c r="C99" s="2"/>
      <c r="D99" s="15"/>
    </row>
    <row r="100" spans="1:4" hidden="1" x14ac:dyDescent="0.25">
      <c r="A100" s="16"/>
      <c r="B100" s="17">
        <v>0</v>
      </c>
      <c r="C100" s="2"/>
      <c r="D100" s="15"/>
    </row>
    <row r="101" spans="1:4" hidden="1" x14ac:dyDescent="0.25">
      <c r="A101" s="16"/>
      <c r="B101" s="17">
        <v>0</v>
      </c>
      <c r="C101" s="2"/>
      <c r="D101" s="15"/>
    </row>
    <row r="102" spans="1:4" ht="15.75" hidden="1" x14ac:dyDescent="0.25">
      <c r="A102" s="13" t="s">
        <v>5</v>
      </c>
      <c r="B102" s="20">
        <f>SUBTOTAL(9,B97:B101)</f>
        <v>0</v>
      </c>
      <c r="C102" s="2"/>
      <c r="D102" s="15"/>
    </row>
    <row r="103" spans="1:4" ht="18" hidden="1" x14ac:dyDescent="0.25">
      <c r="A103" s="222" t="s">
        <v>30</v>
      </c>
      <c r="B103" s="223"/>
      <c r="C103" s="223"/>
      <c r="D103" s="224"/>
    </row>
    <row r="104" spans="1:4" hidden="1" x14ac:dyDescent="0.25">
      <c r="A104" s="16"/>
      <c r="B104" s="17"/>
      <c r="C104" s="2"/>
      <c r="D104" s="15"/>
    </row>
    <row r="105" spans="1:4" hidden="1" x14ac:dyDescent="0.25">
      <c r="A105" s="16"/>
      <c r="B105" s="17"/>
      <c r="C105" s="2"/>
      <c r="D105" s="15"/>
    </row>
    <row r="106" spans="1:4" ht="15.75" hidden="1" x14ac:dyDescent="0.25">
      <c r="A106" s="13" t="s">
        <v>5</v>
      </c>
      <c r="B106" s="20">
        <f>SUBTOTAL(9,B104:B105)</f>
        <v>0</v>
      </c>
      <c r="C106" s="2"/>
      <c r="D106" s="15"/>
    </row>
    <row r="107" spans="1:4" ht="18" hidden="1" x14ac:dyDescent="0.25">
      <c r="A107" s="222" t="s">
        <v>31</v>
      </c>
      <c r="B107" s="223"/>
      <c r="C107" s="223"/>
      <c r="D107" s="224"/>
    </row>
    <row r="108" spans="1:4" hidden="1" x14ac:dyDescent="0.25">
      <c r="A108" s="16"/>
      <c r="B108" s="17">
        <f>QuantityTakeoff!Y123</f>
        <v>0</v>
      </c>
      <c r="C108" s="2"/>
      <c r="D108" s="15"/>
    </row>
    <row r="109" spans="1:4" hidden="1" x14ac:dyDescent="0.25">
      <c r="A109" s="16"/>
      <c r="B109" s="17">
        <v>0</v>
      </c>
      <c r="C109" s="2"/>
      <c r="D109" s="15"/>
    </row>
    <row r="110" spans="1:4" ht="15.75" hidden="1" x14ac:dyDescent="0.25">
      <c r="A110" s="13" t="s">
        <v>5</v>
      </c>
      <c r="B110" s="20">
        <f>SUBTOTAL(9,B108:B109)</f>
        <v>0</v>
      </c>
      <c r="C110" s="21"/>
      <c r="D110" s="15"/>
    </row>
    <row r="111" spans="1:4" ht="18" hidden="1" x14ac:dyDescent="0.25">
      <c r="A111" s="222" t="s">
        <v>32</v>
      </c>
      <c r="B111" s="223"/>
      <c r="C111" s="223"/>
      <c r="D111" s="224"/>
    </row>
    <row r="112" spans="1:4" hidden="1" x14ac:dyDescent="0.25">
      <c r="A112" s="16"/>
      <c r="B112" s="17">
        <v>0</v>
      </c>
      <c r="C112" s="2"/>
      <c r="D112" s="15"/>
    </row>
    <row r="113" spans="1:8" hidden="1" x14ac:dyDescent="0.25">
      <c r="A113" s="16"/>
      <c r="B113" s="17">
        <v>0</v>
      </c>
      <c r="C113" s="2"/>
      <c r="D113" s="15"/>
    </row>
    <row r="114" spans="1:8" ht="15.75" hidden="1" x14ac:dyDescent="0.25">
      <c r="A114" s="13" t="s">
        <v>5</v>
      </c>
      <c r="B114" s="20">
        <f>SUBTOTAL(9,B112:B113)</f>
        <v>0</v>
      </c>
      <c r="C114" s="21"/>
      <c r="D114" s="15"/>
    </row>
    <row r="115" spans="1:8" ht="18" hidden="1" x14ac:dyDescent="0.25">
      <c r="A115" s="222" t="s">
        <v>33</v>
      </c>
      <c r="B115" s="223"/>
      <c r="C115" s="223"/>
      <c r="D115" s="224"/>
    </row>
    <row r="116" spans="1:8" hidden="1" x14ac:dyDescent="0.25">
      <c r="A116" s="16"/>
      <c r="B116" s="17">
        <f>QuantityTakeoff!Y132</f>
        <v>0</v>
      </c>
      <c r="C116" s="2"/>
      <c r="D116" s="15"/>
    </row>
    <row r="117" spans="1:8" hidden="1" x14ac:dyDescent="0.25">
      <c r="A117" s="16"/>
      <c r="B117" s="17">
        <v>0</v>
      </c>
      <c r="C117" s="2"/>
      <c r="D117" s="15"/>
    </row>
    <row r="118" spans="1:8" ht="15.75" hidden="1" x14ac:dyDescent="0.25">
      <c r="A118" s="13" t="s">
        <v>5</v>
      </c>
      <c r="B118" s="20">
        <f>SUBTOTAL(9,B116:B117)</f>
        <v>0</v>
      </c>
      <c r="C118" s="21"/>
      <c r="D118" s="15"/>
    </row>
    <row r="119" spans="1:8" ht="34.700000000000003" hidden="1" customHeight="1" x14ac:dyDescent="0.25">
      <c r="A119" s="222" t="s">
        <v>34</v>
      </c>
      <c r="B119" s="223"/>
      <c r="C119" s="223"/>
      <c r="D119" s="224"/>
    </row>
    <row r="120" spans="1:8" ht="16.350000000000001" hidden="1" customHeight="1" x14ac:dyDescent="0.25">
      <c r="A120" s="13"/>
      <c r="B120" s="17">
        <f>QuantityTakeoff!Y8</f>
        <v>0</v>
      </c>
      <c r="C120" s="21" t="s">
        <v>7</v>
      </c>
      <c r="D120" s="15"/>
    </row>
    <row r="121" spans="1:8" ht="15.75" hidden="1" x14ac:dyDescent="0.25">
      <c r="A121" s="13"/>
      <c r="B121" s="17">
        <f>QuantityTakeoff!Y17</f>
        <v>0</v>
      </c>
      <c r="C121" s="21"/>
      <c r="D121" s="15"/>
    </row>
    <row r="122" spans="1:8" ht="15.75" hidden="1" x14ac:dyDescent="0.25">
      <c r="A122" s="13"/>
      <c r="B122" s="17">
        <v>0</v>
      </c>
      <c r="C122" s="21" t="s">
        <v>35</v>
      </c>
      <c r="D122" s="15"/>
    </row>
    <row r="123" spans="1:8" ht="15.75" hidden="1" x14ac:dyDescent="0.25">
      <c r="A123" s="13" t="s">
        <v>5</v>
      </c>
      <c r="B123" s="179">
        <f>SUM(B120:B122)</f>
        <v>0</v>
      </c>
      <c r="C123" s="157"/>
      <c r="D123" s="15"/>
    </row>
    <row r="124" spans="1:8" ht="15.75" thickBot="1" x14ac:dyDescent="0.3">
      <c r="A124" s="31"/>
      <c r="B124" s="181"/>
      <c r="C124" s="23"/>
      <c r="D124" s="24"/>
      <c r="H124" s="3"/>
    </row>
    <row r="125" spans="1:8" hidden="1" x14ac:dyDescent="0.25">
      <c r="A125" s="16"/>
      <c r="B125" s="1"/>
      <c r="C125" s="2"/>
      <c r="D125" s="15"/>
      <c r="H125" s="3"/>
    </row>
    <row r="126" spans="1:8" ht="15.75" x14ac:dyDescent="0.25">
      <c r="A126" s="13" t="s">
        <v>36</v>
      </c>
      <c r="B126" s="14">
        <f>ROUNDUP(B11+B15+B19+B27+B23+B32+B36+B42+B48+B56+B61+B67+B71+B75+B79+B83+B87+B91+B95+B102+B106+B110+B114+B118+B123,0)</f>
        <v>2934752</v>
      </c>
      <c r="C126" s="2"/>
      <c r="D126" s="15"/>
    </row>
    <row r="127" spans="1:8" ht="15.75" hidden="1" x14ac:dyDescent="0.25">
      <c r="A127" s="16" t="s">
        <v>37</v>
      </c>
      <c r="B127" s="14">
        <v>0</v>
      </c>
      <c r="C127" s="2"/>
      <c r="D127" s="15"/>
    </row>
    <row r="128" spans="1:8" ht="15.75" x14ac:dyDescent="0.25">
      <c r="A128" s="13" t="s">
        <v>38</v>
      </c>
      <c r="B128" s="14">
        <f>ROUNDUP(SUM(B126)*(0.0125),0)</f>
        <v>36685</v>
      </c>
      <c r="C128" s="2"/>
      <c r="D128" s="15"/>
    </row>
    <row r="129" spans="1:9" ht="15.75" x14ac:dyDescent="0.25">
      <c r="A129" s="13" t="s">
        <v>39</v>
      </c>
      <c r="B129" s="14">
        <f>ROUNDUP(SUM(B126:B128)*$G$129,0)</f>
        <v>297144</v>
      </c>
      <c r="C129" s="2"/>
      <c r="D129" s="15"/>
      <c r="G129" s="39">
        <v>0.1</v>
      </c>
      <c r="H129">
        <v>140000</v>
      </c>
      <c r="I129" s="40">
        <f>SUM(B130/H129)</f>
        <v>23.347007142857144</v>
      </c>
    </row>
    <row r="130" spans="1:9" ht="18.75" thickBot="1" x14ac:dyDescent="0.3">
      <c r="A130" s="22" t="s">
        <v>40</v>
      </c>
      <c r="B130" s="35">
        <f>SUM(B126,B127,B128,B129)</f>
        <v>3268581</v>
      </c>
      <c r="C130" s="23"/>
      <c r="D130" s="24"/>
    </row>
    <row r="131" spans="1:9" x14ac:dyDescent="0.25">
      <c r="A131" s="1"/>
      <c r="B131" s="4"/>
      <c r="C131" s="2"/>
      <c r="D131" s="2"/>
    </row>
    <row r="132" spans="1:9" ht="15.75" hidden="1" thickBot="1" x14ac:dyDescent="0.3">
      <c r="A132" s="1"/>
      <c r="B132" s="4"/>
      <c r="C132" s="2"/>
      <c r="D132" s="2"/>
    </row>
    <row r="133" spans="1:9" ht="20.25" hidden="1" x14ac:dyDescent="0.3">
      <c r="A133" s="33" t="s">
        <v>41</v>
      </c>
      <c r="B133" s="28"/>
      <c r="C133" s="29"/>
      <c r="D133" s="30"/>
    </row>
    <row r="134" spans="1:9" hidden="1" x14ac:dyDescent="0.25">
      <c r="A134" s="16">
        <v>1</v>
      </c>
      <c r="B134" s="180" t="s">
        <v>209</v>
      </c>
      <c r="C134" s="177"/>
      <c r="D134" s="140">
        <f>-(QuantityTakeoff!Y82)</f>
        <v>-92500</v>
      </c>
    </row>
    <row r="135" spans="1:9" hidden="1" x14ac:dyDescent="0.25">
      <c r="A135" s="34">
        <v>2</v>
      </c>
      <c r="B135" s="180" t="s">
        <v>210</v>
      </c>
      <c r="C135" s="177"/>
      <c r="D135" s="140">
        <v>-100000</v>
      </c>
    </row>
    <row r="136" spans="1:9" hidden="1" x14ac:dyDescent="0.25">
      <c r="A136" s="16">
        <v>3</v>
      </c>
      <c r="B136" s="180" t="s">
        <v>211</v>
      </c>
      <c r="C136" s="178"/>
      <c r="D136" s="140">
        <f>-(QuantityTakeoff!Y87)</f>
        <v>-1473000</v>
      </c>
    </row>
    <row r="137" spans="1:9" hidden="1" x14ac:dyDescent="0.25">
      <c r="A137" s="16">
        <v>4</v>
      </c>
      <c r="B137" s="180" t="s">
        <v>218</v>
      </c>
      <c r="C137" s="2"/>
      <c r="D137" s="140">
        <v>-15300</v>
      </c>
    </row>
    <row r="138" spans="1:9" hidden="1" x14ac:dyDescent="0.25">
      <c r="A138" s="16"/>
      <c r="B138" s="180"/>
      <c r="C138" s="2"/>
      <c r="D138" s="140"/>
    </row>
    <row r="139" spans="1:9" hidden="1" x14ac:dyDescent="0.25">
      <c r="A139" s="16">
        <v>6</v>
      </c>
      <c r="B139" s="19"/>
      <c r="C139" s="36"/>
      <c r="D139" s="140"/>
    </row>
    <row r="140" spans="1:9" ht="15.75" hidden="1" thickBot="1" x14ac:dyDescent="0.3">
      <c r="A140" s="31"/>
      <c r="B140" s="32"/>
      <c r="C140" s="23"/>
      <c r="D140" s="24"/>
    </row>
    <row r="141" spans="1:9" ht="15.75" hidden="1" thickBot="1" x14ac:dyDescent="0.3">
      <c r="A141" s="1"/>
      <c r="B141" s="4"/>
      <c r="C141" s="2"/>
      <c r="D141" s="2"/>
    </row>
    <row r="142" spans="1:9" ht="20.25" hidden="1" x14ac:dyDescent="0.25">
      <c r="A142" s="139" t="s">
        <v>42</v>
      </c>
      <c r="B142" s="28"/>
      <c r="C142" s="29"/>
      <c r="D142" s="30"/>
    </row>
    <row r="143" spans="1:9" hidden="1" x14ac:dyDescent="0.25">
      <c r="A143" s="16"/>
      <c r="B143" s="19"/>
      <c r="C143" s="2"/>
      <c r="D143" s="15"/>
    </row>
    <row r="144" spans="1:9" hidden="1" x14ac:dyDescent="0.25">
      <c r="A144" s="34">
        <v>1</v>
      </c>
      <c r="B144" s="142" t="s">
        <v>43</v>
      </c>
      <c r="C144" s="141" t="s">
        <v>44</v>
      </c>
      <c r="D144" s="140">
        <v>1500</v>
      </c>
    </row>
    <row r="145" spans="1:13" hidden="1" x14ac:dyDescent="0.25">
      <c r="A145" s="16">
        <v>2</v>
      </c>
      <c r="B145" s="142" t="s">
        <v>45</v>
      </c>
      <c r="C145" s="141" t="s">
        <v>44</v>
      </c>
      <c r="D145" s="140">
        <v>3400</v>
      </c>
    </row>
    <row r="146" spans="1:13" hidden="1" x14ac:dyDescent="0.25">
      <c r="A146" s="16">
        <v>2</v>
      </c>
      <c r="B146" s="142" t="s">
        <v>46</v>
      </c>
      <c r="C146" s="1" t="s">
        <v>44</v>
      </c>
      <c r="D146" s="140">
        <v>10000</v>
      </c>
    </row>
    <row r="147" spans="1:13" hidden="1" x14ac:dyDescent="0.25">
      <c r="A147" s="16">
        <v>4</v>
      </c>
      <c r="B147" s="142" t="s">
        <v>47</v>
      </c>
      <c r="C147" s="1" t="s">
        <v>48</v>
      </c>
      <c r="D147" s="140">
        <v>2000</v>
      </c>
    </row>
    <row r="148" spans="1:13" hidden="1" x14ac:dyDescent="0.25">
      <c r="A148" s="16"/>
      <c r="B148" s="19"/>
      <c r="C148" s="36"/>
      <c r="D148" s="15"/>
    </row>
    <row r="149" spans="1:13" ht="15.75" hidden="1" thickBot="1" x14ac:dyDescent="0.3">
      <c r="A149" s="31"/>
      <c r="B149" s="32"/>
      <c r="C149" s="23"/>
      <c r="D149" s="24"/>
    </row>
    <row r="150" spans="1:13" hidden="1" x14ac:dyDescent="0.25">
      <c r="A150" s="1"/>
      <c r="B150" s="4"/>
      <c r="C150" s="2"/>
      <c r="D150" s="2"/>
    </row>
    <row r="151" spans="1:13" x14ac:dyDescent="0.25">
      <c r="A151" s="1"/>
      <c r="B151" s="4"/>
      <c r="C151" s="2"/>
      <c r="D151" s="2"/>
      <c r="H151" s="203"/>
      <c r="I151" s="203"/>
      <c r="J151" s="133"/>
      <c r="K151" s="133"/>
      <c r="L151" s="199"/>
      <c r="M151" s="199"/>
    </row>
    <row r="152" spans="1:13" x14ac:dyDescent="0.25">
      <c r="A152" s="1"/>
      <c r="B152" s="4"/>
      <c r="C152" s="2"/>
      <c r="D152" s="2"/>
      <c r="H152" s="203"/>
      <c r="I152" s="204"/>
      <c r="J152" s="133"/>
      <c r="K152" s="201"/>
      <c r="L152" s="199"/>
      <c r="M152" s="200"/>
    </row>
    <row r="153" spans="1:13" x14ac:dyDescent="0.25">
      <c r="A153" s="1"/>
      <c r="B153" s="4"/>
      <c r="C153" s="2"/>
      <c r="D153" s="2"/>
      <c r="H153" s="203"/>
      <c r="I153" s="204"/>
      <c r="J153" s="133"/>
      <c r="K153" s="201"/>
      <c r="L153" s="199"/>
      <c r="M153" s="200"/>
    </row>
    <row r="154" spans="1:13" x14ac:dyDescent="0.25">
      <c r="A154" s="1"/>
      <c r="B154" s="4"/>
      <c r="C154" s="2"/>
      <c r="D154" s="2"/>
      <c r="H154" s="203"/>
      <c r="I154" s="203"/>
      <c r="J154" s="133"/>
      <c r="K154" s="133"/>
      <c r="L154" s="199"/>
      <c r="M154" s="200"/>
    </row>
    <row r="155" spans="1:13" x14ac:dyDescent="0.25">
      <c r="A155" s="1"/>
      <c r="B155" s="4"/>
      <c r="C155" s="2"/>
      <c r="D155" s="2"/>
      <c r="H155" s="203"/>
      <c r="I155" s="204"/>
      <c r="J155" s="133"/>
      <c r="K155" s="202"/>
      <c r="L155" s="199"/>
      <c r="M155" s="200"/>
    </row>
    <row r="156" spans="1:13" x14ac:dyDescent="0.25">
      <c r="A156" s="1"/>
      <c r="B156" s="4"/>
      <c r="C156" s="2"/>
      <c r="D156" s="2"/>
      <c r="I156" s="40"/>
    </row>
    <row r="157" spans="1:13" ht="43.5" customHeight="1" x14ac:dyDescent="0.25">
      <c r="A157" s="1"/>
      <c r="B157" s="4"/>
      <c r="C157" s="2"/>
      <c r="D157" s="2"/>
      <c r="H157" s="198"/>
      <c r="I157" s="40"/>
      <c r="J157" s="40"/>
      <c r="K157" s="40"/>
    </row>
    <row r="158" spans="1:13" x14ac:dyDescent="0.25">
      <c r="A158" s="1"/>
      <c r="B158" s="4"/>
      <c r="C158" s="2"/>
      <c r="D158" s="2"/>
    </row>
    <row r="159" spans="1:13" x14ac:dyDescent="0.25">
      <c r="A159" s="1"/>
      <c r="B159" s="4"/>
      <c r="C159" s="2"/>
      <c r="D159" s="2"/>
      <c r="I159" s="40"/>
    </row>
    <row r="160" spans="1:13" x14ac:dyDescent="0.25">
      <c r="A160" s="1"/>
      <c r="B160" s="4"/>
      <c r="C160" s="2"/>
      <c r="D160" s="2"/>
      <c r="K160" s="40"/>
    </row>
    <row r="161" spans="1:11" x14ac:dyDescent="0.25">
      <c r="A161" s="1"/>
      <c r="B161" s="4"/>
      <c r="C161" s="2"/>
      <c r="D161" s="2"/>
      <c r="I161" s="40"/>
      <c r="K161" s="40"/>
    </row>
    <row r="162" spans="1:11" x14ac:dyDescent="0.25">
      <c r="A162" s="1"/>
      <c r="B162" s="4"/>
      <c r="C162" s="2"/>
      <c r="D162" s="2"/>
    </row>
    <row r="163" spans="1:11" x14ac:dyDescent="0.25">
      <c r="A163" s="1"/>
      <c r="B163" s="4"/>
      <c r="C163" s="2"/>
      <c r="D163" s="2"/>
    </row>
    <row r="164" spans="1:11" x14ac:dyDescent="0.25">
      <c r="A164" s="1"/>
      <c r="B164" s="4"/>
      <c r="C164" s="2"/>
      <c r="D164" s="2"/>
    </row>
    <row r="165" spans="1:11" x14ac:dyDescent="0.25">
      <c r="A165" s="1"/>
      <c r="B165" s="4"/>
      <c r="C165" s="2"/>
      <c r="D165" s="2"/>
    </row>
    <row r="166" spans="1:11" x14ac:dyDescent="0.25">
      <c r="A166" s="1"/>
      <c r="B166" s="4"/>
      <c r="C166" s="2"/>
      <c r="D166" s="2"/>
    </row>
    <row r="167" spans="1:11" x14ac:dyDescent="0.25">
      <c r="A167" s="1"/>
      <c r="B167" s="4"/>
      <c r="C167" s="2"/>
      <c r="D167" s="2"/>
    </row>
    <row r="168" spans="1:11" x14ac:dyDescent="0.25">
      <c r="A168" s="1"/>
      <c r="B168" s="4"/>
      <c r="C168" s="2"/>
      <c r="D168" s="2"/>
    </row>
    <row r="169" spans="1:11" x14ac:dyDescent="0.25">
      <c r="A169" s="1"/>
      <c r="B169" s="4"/>
      <c r="C169" s="2"/>
      <c r="D169" s="2"/>
    </row>
    <row r="170" spans="1:11" x14ac:dyDescent="0.25">
      <c r="A170" s="1"/>
      <c r="B170" s="4"/>
      <c r="C170" s="2"/>
      <c r="D170" s="2"/>
    </row>
    <row r="171" spans="1:11" x14ac:dyDescent="0.25">
      <c r="A171" s="1"/>
      <c r="B171" s="4"/>
      <c r="C171" s="2"/>
      <c r="D171" s="2"/>
    </row>
    <row r="172" spans="1:11" x14ac:dyDescent="0.25">
      <c r="A172" s="1"/>
      <c r="B172" s="4"/>
      <c r="C172" s="2"/>
      <c r="D172" s="2"/>
    </row>
    <row r="173" spans="1:11" x14ac:dyDescent="0.25">
      <c r="A173" s="1"/>
      <c r="B173" s="4"/>
      <c r="C173" s="2"/>
      <c r="D173" s="2"/>
    </row>
    <row r="174" spans="1:11" x14ac:dyDescent="0.25">
      <c r="A174" s="1"/>
      <c r="B174" s="4"/>
      <c r="C174" s="2"/>
      <c r="D174" s="2"/>
    </row>
    <row r="175" spans="1:11" x14ac:dyDescent="0.25">
      <c r="A175" s="1"/>
      <c r="B175" s="4"/>
      <c r="C175" s="2"/>
      <c r="D175" s="2"/>
    </row>
    <row r="176" spans="1:11" x14ac:dyDescent="0.25">
      <c r="A176" s="1"/>
      <c r="B176" s="4"/>
      <c r="C176" s="2"/>
      <c r="D176" s="2"/>
    </row>
    <row r="177" spans="1:4" x14ac:dyDescent="0.25">
      <c r="A177" s="1"/>
      <c r="B177" s="4"/>
      <c r="C177" s="2"/>
      <c r="D177" s="2"/>
    </row>
    <row r="178" spans="1:4" x14ac:dyDescent="0.25">
      <c r="A178" s="1"/>
      <c r="B178" s="4"/>
      <c r="C178" s="2"/>
      <c r="D178" s="2"/>
    </row>
    <row r="179" spans="1:4" x14ac:dyDescent="0.25">
      <c r="A179" s="1"/>
      <c r="B179" s="4"/>
      <c r="C179" s="2"/>
      <c r="D179" s="2"/>
    </row>
    <row r="180" spans="1:4" x14ac:dyDescent="0.25">
      <c r="A180" s="1"/>
      <c r="B180" s="4"/>
      <c r="C180" s="2"/>
      <c r="D180" s="2"/>
    </row>
    <row r="181" spans="1:4" x14ac:dyDescent="0.25">
      <c r="A181" s="1"/>
      <c r="B181" s="4"/>
      <c r="C181" s="2"/>
      <c r="D181" s="2"/>
    </row>
    <row r="182" spans="1:4" x14ac:dyDescent="0.25">
      <c r="A182" s="1"/>
      <c r="B182" s="4"/>
      <c r="C182" s="2"/>
      <c r="D182" s="2"/>
    </row>
    <row r="183" spans="1:4" x14ac:dyDescent="0.25">
      <c r="A183" s="1"/>
      <c r="B183" s="4"/>
      <c r="C183" s="2"/>
      <c r="D183" s="2"/>
    </row>
    <row r="184" spans="1:4" x14ac:dyDescent="0.25">
      <c r="A184" s="1"/>
      <c r="B184" s="4"/>
      <c r="C184" s="2"/>
      <c r="D184" s="2"/>
    </row>
    <row r="185" spans="1:4" x14ac:dyDescent="0.25">
      <c r="A185" s="1"/>
      <c r="B185" s="4"/>
      <c r="C185" s="2"/>
      <c r="D185" s="2"/>
    </row>
    <row r="186" spans="1:4" x14ac:dyDescent="0.25">
      <c r="A186" s="1"/>
      <c r="B186" s="4"/>
      <c r="C186" s="2"/>
      <c r="D186" s="2"/>
    </row>
    <row r="187" spans="1:4" x14ac:dyDescent="0.25">
      <c r="A187" s="1"/>
      <c r="B187" s="4"/>
      <c r="C187" s="2"/>
      <c r="D187" s="2"/>
    </row>
    <row r="188" spans="1:4" x14ac:dyDescent="0.25">
      <c r="A188" s="1"/>
      <c r="B188" s="4"/>
      <c r="C188" s="2"/>
      <c r="D188" s="2"/>
    </row>
    <row r="189" spans="1:4" x14ac:dyDescent="0.25">
      <c r="A189" s="1"/>
      <c r="B189" s="4"/>
      <c r="C189" s="2"/>
      <c r="D189" s="2"/>
    </row>
    <row r="190" spans="1:4" x14ac:dyDescent="0.25">
      <c r="A190" s="1"/>
      <c r="B190" s="4"/>
      <c r="C190" s="2"/>
      <c r="D190" s="2"/>
    </row>
    <row r="191" spans="1:4" x14ac:dyDescent="0.25">
      <c r="A191" s="1"/>
      <c r="B191" s="4"/>
      <c r="C191" s="2"/>
      <c r="D191" s="2"/>
    </row>
    <row r="192" spans="1:4" x14ac:dyDescent="0.25">
      <c r="A192" s="1"/>
      <c r="B192" s="4"/>
      <c r="C192" s="2"/>
      <c r="D192" s="2"/>
    </row>
    <row r="193" spans="1:4" x14ac:dyDescent="0.25">
      <c r="A193" s="1"/>
      <c r="B193" s="4"/>
      <c r="C193" s="2"/>
      <c r="D193" s="2"/>
    </row>
    <row r="194" spans="1:4" x14ac:dyDescent="0.25">
      <c r="A194" s="1"/>
      <c r="B194" s="4"/>
      <c r="C194" s="2"/>
      <c r="D194" s="2"/>
    </row>
    <row r="195" spans="1:4" x14ac:dyDescent="0.25">
      <c r="A195" s="1"/>
      <c r="B195" s="4"/>
      <c r="C195" s="2"/>
      <c r="D195" s="2"/>
    </row>
    <row r="196" spans="1:4" x14ac:dyDescent="0.25">
      <c r="A196" s="1"/>
      <c r="B196" s="4"/>
      <c r="C196" s="2"/>
      <c r="D196" s="2"/>
    </row>
    <row r="197" spans="1:4" x14ac:dyDescent="0.25">
      <c r="A197" s="1"/>
      <c r="B197" s="4"/>
      <c r="C197" s="2"/>
      <c r="D197" s="2"/>
    </row>
    <row r="198" spans="1:4" x14ac:dyDescent="0.25">
      <c r="A198" s="1"/>
      <c r="B198" s="4"/>
      <c r="C198" s="2"/>
      <c r="D198" s="2"/>
    </row>
    <row r="199" spans="1:4" x14ac:dyDescent="0.25">
      <c r="A199" s="1"/>
      <c r="B199" s="4"/>
      <c r="C199" s="2"/>
      <c r="D199" s="2"/>
    </row>
    <row r="200" spans="1:4" x14ac:dyDescent="0.25">
      <c r="A200" s="1"/>
      <c r="B200" s="4"/>
      <c r="C200" s="2"/>
      <c r="D200" s="2"/>
    </row>
    <row r="201" spans="1:4" x14ac:dyDescent="0.25">
      <c r="A201" s="1"/>
      <c r="B201" s="4"/>
      <c r="C201" s="2"/>
      <c r="D201" s="2"/>
    </row>
    <row r="202" spans="1:4" x14ac:dyDescent="0.25">
      <c r="A202" s="1"/>
      <c r="B202" s="4"/>
      <c r="C202" s="2"/>
      <c r="D202" s="2"/>
    </row>
    <row r="203" spans="1:4" x14ac:dyDescent="0.25">
      <c r="A203" s="1"/>
      <c r="B203" s="4"/>
      <c r="C203" s="2"/>
      <c r="D203" s="2"/>
    </row>
    <row r="204" spans="1:4" x14ac:dyDescent="0.25">
      <c r="A204" s="1"/>
      <c r="B204" s="4"/>
      <c r="C204" s="2"/>
      <c r="D204" s="2"/>
    </row>
    <row r="205" spans="1:4" x14ac:dyDescent="0.25">
      <c r="A205" s="1"/>
      <c r="B205" s="4"/>
      <c r="C205" s="2"/>
      <c r="D205" s="2"/>
    </row>
    <row r="206" spans="1:4" x14ac:dyDescent="0.25">
      <c r="A206" s="1"/>
      <c r="B206" s="4"/>
      <c r="C206" s="2"/>
      <c r="D206" s="2"/>
    </row>
    <row r="207" spans="1:4" x14ac:dyDescent="0.25">
      <c r="A207" s="1"/>
      <c r="B207" s="4"/>
      <c r="C207" s="2"/>
      <c r="D207" s="2"/>
    </row>
    <row r="208" spans="1:4" x14ac:dyDescent="0.25">
      <c r="A208" s="1"/>
      <c r="B208" s="4"/>
      <c r="C208" s="2"/>
      <c r="D208" s="2"/>
    </row>
    <row r="209" spans="1:4" x14ac:dyDescent="0.25">
      <c r="A209" s="1"/>
      <c r="B209" s="4"/>
      <c r="C209" s="2"/>
      <c r="D209" s="2"/>
    </row>
    <row r="210" spans="1:4" x14ac:dyDescent="0.25">
      <c r="A210" s="1"/>
      <c r="B210" s="4"/>
      <c r="C210" s="2"/>
      <c r="D210" s="2"/>
    </row>
    <row r="211" spans="1:4" x14ac:dyDescent="0.25">
      <c r="A211" s="1"/>
      <c r="B211" s="4"/>
      <c r="C211" s="2"/>
      <c r="D211" s="2"/>
    </row>
    <row r="212" spans="1:4" x14ac:dyDescent="0.25">
      <c r="A212" s="1"/>
      <c r="B212" s="4"/>
      <c r="C212" s="2"/>
      <c r="D212" s="2"/>
    </row>
    <row r="213" spans="1:4" x14ac:dyDescent="0.25">
      <c r="A213" s="1"/>
      <c r="B213" s="4"/>
      <c r="C213" s="2"/>
      <c r="D213" s="2"/>
    </row>
    <row r="214" spans="1:4" x14ac:dyDescent="0.25">
      <c r="A214" s="1"/>
      <c r="B214" s="4"/>
      <c r="C214" s="2"/>
      <c r="D214" s="2"/>
    </row>
    <row r="215" spans="1:4" x14ac:dyDescent="0.25">
      <c r="A215" s="1"/>
      <c r="B215" s="4"/>
      <c r="C215" s="2"/>
      <c r="D215" s="2"/>
    </row>
    <row r="216" spans="1:4" x14ac:dyDescent="0.25">
      <c r="A216" s="1"/>
      <c r="B216" s="4"/>
      <c r="C216" s="2"/>
      <c r="D216" s="2"/>
    </row>
    <row r="217" spans="1:4" x14ac:dyDescent="0.25">
      <c r="A217" s="1"/>
      <c r="B217" s="4"/>
      <c r="C217" s="2"/>
      <c r="D217" s="2"/>
    </row>
    <row r="218" spans="1:4" x14ac:dyDescent="0.25">
      <c r="A218" s="1"/>
      <c r="B218" s="4"/>
      <c r="C218" s="2"/>
      <c r="D218" s="2"/>
    </row>
    <row r="219" spans="1:4" x14ac:dyDescent="0.25">
      <c r="A219" s="1"/>
      <c r="B219" s="4"/>
      <c r="C219" s="2"/>
      <c r="D219" s="2"/>
    </row>
    <row r="220" spans="1:4" x14ac:dyDescent="0.25">
      <c r="A220" s="1"/>
      <c r="B220" s="4"/>
      <c r="C220" s="2"/>
      <c r="D220" s="2"/>
    </row>
    <row r="221" spans="1:4" x14ac:dyDescent="0.25">
      <c r="A221" s="1"/>
      <c r="B221" s="4"/>
      <c r="C221" s="2"/>
      <c r="D221" s="2"/>
    </row>
    <row r="222" spans="1:4" x14ac:dyDescent="0.25">
      <c r="A222" s="1"/>
      <c r="B222" s="4"/>
      <c r="C222" s="2"/>
      <c r="D222" s="2"/>
    </row>
    <row r="223" spans="1:4" x14ac:dyDescent="0.25">
      <c r="A223" s="1"/>
      <c r="B223" s="4"/>
      <c r="C223" s="2"/>
      <c r="D223" s="2"/>
    </row>
    <row r="224" spans="1:4" x14ac:dyDescent="0.25">
      <c r="A224" s="1"/>
      <c r="B224" s="4"/>
      <c r="C224" s="2"/>
      <c r="D224" s="2"/>
    </row>
    <row r="225" spans="1:4" x14ac:dyDescent="0.25">
      <c r="A225" s="1"/>
      <c r="B225" s="4"/>
      <c r="C225" s="2"/>
      <c r="D225" s="2"/>
    </row>
    <row r="226" spans="1:4" x14ac:dyDescent="0.25">
      <c r="A226" s="1"/>
      <c r="B226" s="4"/>
      <c r="C226" s="2"/>
      <c r="D226" s="2"/>
    </row>
    <row r="227" spans="1:4" x14ac:dyDescent="0.25">
      <c r="A227" s="1"/>
      <c r="B227" s="4"/>
      <c r="C227" s="2"/>
      <c r="D227" s="2"/>
    </row>
    <row r="228" spans="1:4" x14ac:dyDescent="0.25">
      <c r="A228" s="1"/>
      <c r="B228" s="4"/>
      <c r="C228" s="2"/>
      <c r="D228" s="2"/>
    </row>
    <row r="229" spans="1:4" x14ac:dyDescent="0.25">
      <c r="A229" s="1"/>
      <c r="B229" s="4"/>
      <c r="C229" s="2"/>
      <c r="D229" s="2"/>
    </row>
    <row r="230" spans="1:4" x14ac:dyDescent="0.25">
      <c r="A230" s="1"/>
      <c r="B230" s="4"/>
      <c r="C230" s="2"/>
      <c r="D230" s="2"/>
    </row>
    <row r="231" spans="1:4" x14ac:dyDescent="0.25">
      <c r="A231" s="1"/>
      <c r="B231" s="4"/>
      <c r="C231" s="2"/>
      <c r="D231" s="2"/>
    </row>
    <row r="232" spans="1:4" x14ac:dyDescent="0.25">
      <c r="A232" s="1"/>
      <c r="B232" s="4"/>
      <c r="C232" s="2"/>
      <c r="D232" s="2"/>
    </row>
    <row r="233" spans="1:4" x14ac:dyDescent="0.25">
      <c r="A233" s="1"/>
      <c r="B233" s="4"/>
      <c r="C233" s="2"/>
      <c r="D233" s="2"/>
    </row>
    <row r="234" spans="1:4" x14ac:dyDescent="0.25">
      <c r="A234" s="1"/>
      <c r="B234" s="4"/>
      <c r="C234" s="2"/>
      <c r="D234" s="2"/>
    </row>
    <row r="235" spans="1:4" x14ac:dyDescent="0.25">
      <c r="A235" s="1"/>
      <c r="B235" s="4"/>
      <c r="C235" s="2"/>
      <c r="D235" s="2"/>
    </row>
    <row r="236" spans="1:4" x14ac:dyDescent="0.25">
      <c r="A236" s="1"/>
      <c r="B236" s="4"/>
      <c r="C236" s="2"/>
      <c r="D236" s="2"/>
    </row>
    <row r="237" spans="1:4" x14ac:dyDescent="0.25">
      <c r="A237" s="1"/>
      <c r="B237" s="4"/>
      <c r="C237" s="2"/>
      <c r="D237" s="2"/>
    </row>
    <row r="238" spans="1:4" x14ac:dyDescent="0.25">
      <c r="A238" s="1"/>
      <c r="B238" s="4"/>
      <c r="C238" s="2"/>
      <c r="D238" s="2"/>
    </row>
    <row r="239" spans="1:4" x14ac:dyDescent="0.25">
      <c r="A239" s="1"/>
      <c r="B239" s="4"/>
      <c r="C239" s="2"/>
      <c r="D239" s="2"/>
    </row>
    <row r="240" spans="1:4" x14ac:dyDescent="0.25">
      <c r="A240" s="1"/>
      <c r="B240" s="4"/>
      <c r="C240" s="2"/>
      <c r="D240" s="2"/>
    </row>
    <row r="241" spans="1:4" x14ac:dyDescent="0.25">
      <c r="A241" s="1"/>
      <c r="B241" s="4"/>
      <c r="C241" s="2"/>
      <c r="D241" s="2"/>
    </row>
    <row r="242" spans="1:4" x14ac:dyDescent="0.25">
      <c r="A242" s="1"/>
      <c r="B242" s="4"/>
      <c r="C242" s="2"/>
      <c r="D242" s="2"/>
    </row>
    <row r="243" spans="1:4" x14ac:dyDescent="0.25">
      <c r="A243" s="1"/>
      <c r="B243" s="4"/>
      <c r="C243" s="2"/>
      <c r="D243" s="2"/>
    </row>
    <row r="244" spans="1:4" x14ac:dyDescent="0.25">
      <c r="A244" s="1"/>
      <c r="B244" s="4"/>
      <c r="C244" s="2"/>
      <c r="D244" s="2"/>
    </row>
    <row r="245" spans="1:4" x14ac:dyDescent="0.25">
      <c r="A245" s="1"/>
      <c r="B245" s="4"/>
      <c r="C245" s="2"/>
      <c r="D245" s="2"/>
    </row>
    <row r="246" spans="1:4" x14ac:dyDescent="0.25">
      <c r="A246" s="1"/>
      <c r="B246" s="4"/>
      <c r="C246" s="2"/>
      <c r="D246" s="2"/>
    </row>
    <row r="247" spans="1:4" x14ac:dyDescent="0.25">
      <c r="A247" s="1"/>
      <c r="B247" s="4"/>
      <c r="C247" s="2"/>
      <c r="D247" s="2"/>
    </row>
    <row r="248" spans="1:4" x14ac:dyDescent="0.25">
      <c r="A248" s="1"/>
      <c r="B248" s="4"/>
      <c r="C248" s="2"/>
      <c r="D248" s="2"/>
    </row>
    <row r="249" spans="1:4" x14ac:dyDescent="0.25">
      <c r="A249" s="1"/>
      <c r="B249" s="4"/>
      <c r="C249" s="2"/>
      <c r="D249" s="2"/>
    </row>
    <row r="250" spans="1:4" x14ac:dyDescent="0.25">
      <c r="A250" s="1"/>
      <c r="B250" s="4"/>
      <c r="C250" s="2"/>
      <c r="D250" s="2"/>
    </row>
  </sheetData>
  <mergeCells count="32">
    <mergeCell ref="A24:D24"/>
    <mergeCell ref="A1:D1"/>
    <mergeCell ref="A2:B2"/>
    <mergeCell ref="C2:D2"/>
    <mergeCell ref="A3:D3"/>
    <mergeCell ref="A4:B4"/>
    <mergeCell ref="B7:D7"/>
    <mergeCell ref="B8:D8"/>
    <mergeCell ref="A10:D10"/>
    <mergeCell ref="A12:D12"/>
    <mergeCell ref="A16:D16"/>
    <mergeCell ref="A20:D20"/>
    <mergeCell ref="A84:D84"/>
    <mergeCell ref="A28:D28"/>
    <mergeCell ref="A33:D33"/>
    <mergeCell ref="A37:D37"/>
    <mergeCell ref="A43:D43"/>
    <mergeCell ref="A49:D49"/>
    <mergeCell ref="A57:D57"/>
    <mergeCell ref="A62:D62"/>
    <mergeCell ref="A68:D68"/>
    <mergeCell ref="A72:D72"/>
    <mergeCell ref="A76:D76"/>
    <mergeCell ref="A80:D80"/>
    <mergeCell ref="A115:D115"/>
    <mergeCell ref="A119:D119"/>
    <mergeCell ref="A88:D88"/>
    <mergeCell ref="A92:D92"/>
    <mergeCell ref="A96:D96"/>
    <mergeCell ref="A103:D103"/>
    <mergeCell ref="A107:D107"/>
    <mergeCell ref="A111:D111"/>
  </mergeCells>
  <conditionalFormatting sqref="B13:B14">
    <cfRule type="expression" dxfId="24" priority="26">
      <formula>IF(B13="",TRUE,FALSE)</formula>
    </cfRule>
  </conditionalFormatting>
  <conditionalFormatting sqref="B17:B18">
    <cfRule type="expression" dxfId="23" priority="27">
      <formula>IF(B17="",TRUE,FALSE)</formula>
    </cfRule>
  </conditionalFormatting>
  <conditionalFormatting sqref="B21:B22">
    <cfRule type="expression" dxfId="22" priority="18">
      <formula>IF(B21="",TRUE,FALSE)</formula>
    </cfRule>
  </conditionalFormatting>
  <conditionalFormatting sqref="B25:B26">
    <cfRule type="expression" dxfId="21" priority="6">
      <formula>IF(B25="",TRUE,FALSE)</formula>
    </cfRule>
  </conditionalFormatting>
  <conditionalFormatting sqref="B29:B31">
    <cfRule type="expression" dxfId="20" priority="20">
      <formula>IF(B29="",TRUE,FALSE)</formula>
    </cfRule>
  </conditionalFormatting>
  <conditionalFormatting sqref="B34:B35">
    <cfRule type="expression" dxfId="19" priority="22">
      <formula>IF(B34="",TRUE,FALSE)</formula>
    </cfRule>
  </conditionalFormatting>
  <conditionalFormatting sqref="B38:B41">
    <cfRule type="expression" dxfId="18" priority="45">
      <formula>IF(B38="",TRUE,FALSE)</formula>
    </cfRule>
  </conditionalFormatting>
  <conditionalFormatting sqref="B44:B47">
    <cfRule type="expression" dxfId="17" priority="40">
      <formula>IF(B44="",TRUE,FALSE)</formula>
    </cfRule>
  </conditionalFormatting>
  <conditionalFormatting sqref="B50:B55">
    <cfRule type="expression" dxfId="16" priority="39">
      <formula>IF(B50="",TRUE,FALSE)</formula>
    </cfRule>
  </conditionalFormatting>
  <conditionalFormatting sqref="B58:B60">
    <cfRule type="expression" dxfId="15" priority="38">
      <formula>IF(B58="",TRUE,FALSE)</formula>
    </cfRule>
  </conditionalFormatting>
  <conditionalFormatting sqref="B63:B66">
    <cfRule type="expression" dxfId="14" priority="16">
      <formula>IF(B63="",TRUE,FALSE)</formula>
    </cfRule>
  </conditionalFormatting>
  <conditionalFormatting sqref="B69:B70">
    <cfRule type="expression" dxfId="13" priority="15">
      <formula>IF(B69="",TRUE,FALSE)</formula>
    </cfRule>
  </conditionalFormatting>
  <conditionalFormatting sqref="B73:B74">
    <cfRule type="expression" dxfId="12" priority="14">
      <formula>IF(B73="",TRUE,FALSE)</formula>
    </cfRule>
  </conditionalFormatting>
  <conditionalFormatting sqref="B77:B78">
    <cfRule type="expression" dxfId="11" priority="34">
      <formula>IF(B77="",TRUE,FALSE)</formula>
    </cfRule>
  </conditionalFormatting>
  <conditionalFormatting sqref="B81:B82">
    <cfRule type="expression" dxfId="10" priority="33">
      <formula>IF(B81="",TRUE,FALSE)</formula>
    </cfRule>
  </conditionalFormatting>
  <conditionalFormatting sqref="B85:B86">
    <cfRule type="expression" dxfId="9" priority="32">
      <formula>IF(B85="",TRUE,FALSE)</formula>
    </cfRule>
  </conditionalFormatting>
  <conditionalFormatting sqref="B89:B90">
    <cfRule type="expression" dxfId="8" priority="4">
      <formula>IF(B89="",TRUE,FALSE)</formula>
    </cfRule>
  </conditionalFormatting>
  <conditionalFormatting sqref="B93:B94">
    <cfRule type="expression" dxfId="7" priority="12">
      <formula>IF(B93="",TRUE,FALSE)</formula>
    </cfRule>
  </conditionalFormatting>
  <conditionalFormatting sqref="B97:B101">
    <cfRule type="expression" dxfId="6" priority="30">
      <formula>IF(B97="",TRUE,FALSE)</formula>
    </cfRule>
  </conditionalFormatting>
  <conditionalFormatting sqref="B104:B105">
    <cfRule type="expression" dxfId="5" priority="23">
      <formula>IF(B104="",TRUE,FALSE)</formula>
    </cfRule>
  </conditionalFormatting>
  <conditionalFormatting sqref="B108:B109">
    <cfRule type="expression" dxfId="4" priority="29">
      <formula>IF(B108="",TRUE,FALSE)</formula>
    </cfRule>
  </conditionalFormatting>
  <conditionalFormatting sqref="B112:B113">
    <cfRule type="expression" dxfId="3" priority="10">
      <formula>IF(B112="",TRUE,FALSE)</formula>
    </cfRule>
  </conditionalFormatting>
  <conditionalFormatting sqref="B116:B117">
    <cfRule type="expression" dxfId="2" priority="2">
      <formula>IF(B116="",TRUE,FALSE)</formula>
    </cfRule>
  </conditionalFormatting>
  <conditionalFormatting sqref="B120:B122">
    <cfRule type="expression" dxfId="1" priority="8">
      <formula>IF(B120="",TRUE,FALSE)</formula>
    </cfRule>
  </conditionalFormatting>
  <conditionalFormatting sqref="F11:F123">
    <cfRule type="expression" dxfId="0" priority="1">
      <formula>IF(C11="Internal Estimate",TRUE, FALSE)</formula>
    </cfRule>
  </conditionalFormatting>
  <hyperlinks>
    <hyperlink ref="C5" r:id="rId1" xr:uid="{9D54C387-CB43-4BCB-B5B2-17D166AA5F1D}"/>
    <hyperlink ref="C6" r:id="rId2" xr:uid="{9B7FBEED-C305-4F8A-A190-2F3A5E85645B}"/>
  </hyperlinks>
  <pageMargins left="0.25" right="0.25" top="0.75" bottom="0.75" header="0.3" footer="0.3"/>
  <pageSetup scale="79" fitToHeight="0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3C6C6-A281-46E6-B53D-02F0B4F093D3}">
  <dimension ref="A1:G27"/>
  <sheetViews>
    <sheetView zoomScaleNormal="100" workbookViewId="0">
      <selection activeCell="U10" sqref="U10"/>
    </sheetView>
  </sheetViews>
  <sheetFormatPr defaultRowHeight="15" x14ac:dyDescent="0.25"/>
  <cols>
    <col min="1" max="1" width="11" style="7" bestFit="1" customWidth="1"/>
    <col min="2" max="2" width="23.42578125" bestFit="1" customWidth="1"/>
    <col min="3" max="3" width="12.5703125" style="3" bestFit="1" customWidth="1"/>
    <col min="7" max="7" width="12" bestFit="1" customWidth="1"/>
  </cols>
  <sheetData>
    <row r="1" spans="1:7" x14ac:dyDescent="0.25">
      <c r="B1" t="s">
        <v>49</v>
      </c>
      <c r="C1" s="37">
        <v>3</v>
      </c>
      <c r="D1" t="s">
        <v>50</v>
      </c>
      <c r="E1" s="38">
        <v>12</v>
      </c>
      <c r="F1" t="s">
        <v>51</v>
      </c>
    </row>
    <row r="3" spans="1:7" x14ac:dyDescent="0.25">
      <c r="A3" s="242" t="s">
        <v>52</v>
      </c>
      <c r="B3" s="242"/>
      <c r="C3" s="242"/>
      <c r="E3" t="s">
        <v>53</v>
      </c>
      <c r="F3" t="s">
        <v>54</v>
      </c>
      <c r="G3" t="s">
        <v>55</v>
      </c>
    </row>
    <row r="4" spans="1:7" x14ac:dyDescent="0.25">
      <c r="A4" s="5">
        <v>3128</v>
      </c>
      <c r="B4" t="s">
        <v>56</v>
      </c>
      <c r="C4" s="3">
        <f>E4*G4</f>
        <v>45552</v>
      </c>
      <c r="E4" s="38">
        <v>12</v>
      </c>
      <c r="F4" t="s">
        <v>51</v>
      </c>
      <c r="G4" s="3">
        <v>3796</v>
      </c>
    </row>
    <row r="5" spans="1:7" x14ac:dyDescent="0.25">
      <c r="A5" s="5">
        <v>3144</v>
      </c>
      <c r="B5" t="s">
        <v>57</v>
      </c>
      <c r="C5" s="3">
        <f t="shared" ref="C5:C13" si="0">E5*G5</f>
        <v>40500</v>
      </c>
      <c r="E5" s="38">
        <v>12</v>
      </c>
      <c r="F5" t="s">
        <v>51</v>
      </c>
      <c r="G5" s="3">
        <v>3375</v>
      </c>
    </row>
    <row r="6" spans="1:7" x14ac:dyDescent="0.25">
      <c r="A6" s="5">
        <v>3129</v>
      </c>
      <c r="B6" t="s">
        <v>58</v>
      </c>
      <c r="C6" s="3">
        <f t="shared" si="0"/>
        <v>1200</v>
      </c>
      <c r="E6" s="38">
        <v>12</v>
      </c>
      <c r="F6" t="s">
        <v>51</v>
      </c>
      <c r="G6" s="3">
        <v>100</v>
      </c>
    </row>
    <row r="7" spans="1:7" x14ac:dyDescent="0.25">
      <c r="A7" s="5">
        <v>3130</v>
      </c>
      <c r="B7" t="s">
        <v>59</v>
      </c>
      <c r="C7" s="3">
        <f t="shared" si="0"/>
        <v>3300</v>
      </c>
      <c r="E7" s="38">
        <v>6</v>
      </c>
      <c r="F7" t="s">
        <v>50</v>
      </c>
      <c r="G7" s="3">
        <v>550</v>
      </c>
    </row>
    <row r="8" spans="1:7" x14ac:dyDescent="0.25">
      <c r="A8" s="6" t="s">
        <v>60</v>
      </c>
      <c r="B8" t="s">
        <v>61</v>
      </c>
      <c r="C8" s="3">
        <f t="shared" si="0"/>
        <v>450</v>
      </c>
      <c r="E8" s="38">
        <v>3</v>
      </c>
      <c r="F8" t="s">
        <v>50</v>
      </c>
      <c r="G8" s="3">
        <v>150</v>
      </c>
    </row>
    <row r="9" spans="1:7" x14ac:dyDescent="0.25">
      <c r="A9" s="7">
        <v>3247</v>
      </c>
      <c r="B9" t="s">
        <v>62</v>
      </c>
      <c r="C9" s="3">
        <f t="shared" si="0"/>
        <v>2250</v>
      </c>
      <c r="E9" s="38">
        <v>3</v>
      </c>
      <c r="F9" t="s">
        <v>63</v>
      </c>
      <c r="G9" s="3">
        <v>750</v>
      </c>
    </row>
    <row r="10" spans="1:7" x14ac:dyDescent="0.25">
      <c r="A10" s="7">
        <v>3329</v>
      </c>
      <c r="B10" t="s">
        <v>64</v>
      </c>
      <c r="C10" s="3">
        <f t="shared" si="0"/>
        <v>0</v>
      </c>
      <c r="E10">
        <v>0</v>
      </c>
      <c r="F10" t="s">
        <v>63</v>
      </c>
      <c r="G10" s="3"/>
    </row>
    <row r="11" spans="1:7" x14ac:dyDescent="0.25">
      <c r="A11" s="7">
        <v>4126</v>
      </c>
      <c r="B11" t="s">
        <v>65</v>
      </c>
      <c r="C11" s="3">
        <f t="shared" si="0"/>
        <v>15000</v>
      </c>
      <c r="E11">
        <v>1</v>
      </c>
      <c r="F11" t="s">
        <v>63</v>
      </c>
      <c r="G11" s="3">
        <v>15000</v>
      </c>
    </row>
    <row r="12" spans="1:7" x14ac:dyDescent="0.25">
      <c r="A12" s="7">
        <v>4523</v>
      </c>
      <c r="B12" t="s">
        <v>66</v>
      </c>
      <c r="C12" s="3">
        <f t="shared" si="0"/>
        <v>3500</v>
      </c>
      <c r="E12">
        <v>1</v>
      </c>
      <c r="F12" t="s">
        <v>63</v>
      </c>
      <c r="G12" s="3">
        <v>3500</v>
      </c>
    </row>
    <row r="13" spans="1:7" x14ac:dyDescent="0.25">
      <c r="A13" s="7">
        <v>5113</v>
      </c>
      <c r="B13" t="s">
        <v>67</v>
      </c>
      <c r="C13" s="3">
        <f t="shared" si="0"/>
        <v>0</v>
      </c>
      <c r="E13" s="38">
        <v>0</v>
      </c>
      <c r="F13" t="s">
        <v>50</v>
      </c>
      <c r="G13" s="3">
        <v>1000</v>
      </c>
    </row>
    <row r="14" spans="1:7" x14ac:dyDescent="0.25">
      <c r="A14" s="7">
        <v>5216</v>
      </c>
      <c r="B14" t="s">
        <v>68</v>
      </c>
      <c r="C14" s="3">
        <f t="shared" ref="C14:C16" si="1">E14*G14</f>
        <v>0</v>
      </c>
      <c r="E14" s="38">
        <v>0</v>
      </c>
      <c r="F14" t="s">
        <v>50</v>
      </c>
      <c r="G14" s="3">
        <v>75</v>
      </c>
    </row>
    <row r="15" spans="1:7" x14ac:dyDescent="0.25">
      <c r="A15" s="7">
        <v>5213</v>
      </c>
      <c r="B15" t="s">
        <v>69</v>
      </c>
      <c r="C15" s="3">
        <f t="shared" si="1"/>
        <v>0</v>
      </c>
      <c r="E15" s="38">
        <v>0</v>
      </c>
      <c r="F15" t="s">
        <v>50</v>
      </c>
      <c r="G15" s="3">
        <v>650</v>
      </c>
    </row>
    <row r="16" spans="1:7" x14ac:dyDescent="0.25">
      <c r="A16" s="7">
        <v>5217</v>
      </c>
      <c r="B16" t="s">
        <v>70</v>
      </c>
      <c r="C16" s="3">
        <f t="shared" si="1"/>
        <v>0</v>
      </c>
      <c r="E16" s="38">
        <v>0</v>
      </c>
      <c r="F16" t="s">
        <v>50</v>
      </c>
      <c r="G16" s="3">
        <v>150</v>
      </c>
    </row>
    <row r="17" spans="1:7" x14ac:dyDescent="0.25">
      <c r="A17" s="7">
        <v>5219</v>
      </c>
      <c r="B17" t="s">
        <v>71</v>
      </c>
      <c r="C17" s="3">
        <f t="shared" ref="C17" si="2">E17*G17</f>
        <v>0</v>
      </c>
      <c r="E17" s="38">
        <v>0</v>
      </c>
      <c r="F17" t="s">
        <v>50</v>
      </c>
      <c r="G17" s="3">
        <v>350</v>
      </c>
    </row>
    <row r="18" spans="1:7" x14ac:dyDescent="0.25">
      <c r="A18" s="7">
        <v>6113</v>
      </c>
      <c r="B18" t="s">
        <v>72</v>
      </c>
      <c r="C18" s="3">
        <f t="shared" ref="C18:C22" si="3">E18*G18</f>
        <v>1500</v>
      </c>
      <c r="E18">
        <v>1</v>
      </c>
      <c r="F18" t="s">
        <v>63</v>
      </c>
      <c r="G18" s="3">
        <v>1500</v>
      </c>
    </row>
    <row r="19" spans="1:7" x14ac:dyDescent="0.25">
      <c r="A19" s="7">
        <v>6500</v>
      </c>
      <c r="B19" t="s">
        <v>73</v>
      </c>
      <c r="C19" s="3">
        <f t="shared" si="3"/>
        <v>36000</v>
      </c>
      <c r="E19" s="38">
        <v>3</v>
      </c>
      <c r="F19" t="s">
        <v>50</v>
      </c>
      <c r="G19" s="3">
        <v>12000</v>
      </c>
    </row>
    <row r="20" spans="1:7" x14ac:dyDescent="0.25">
      <c r="A20" s="7">
        <v>7333</v>
      </c>
      <c r="B20" t="s">
        <v>74</v>
      </c>
      <c r="C20" s="3">
        <f t="shared" si="3"/>
        <v>0</v>
      </c>
      <c r="E20" s="38">
        <v>0</v>
      </c>
      <c r="F20" t="s">
        <v>50</v>
      </c>
      <c r="G20" s="3">
        <v>500</v>
      </c>
    </row>
    <row r="21" spans="1:7" x14ac:dyDescent="0.25">
      <c r="A21" s="7">
        <v>7336</v>
      </c>
      <c r="B21" t="s">
        <v>75</v>
      </c>
      <c r="C21" s="3">
        <f t="shared" si="3"/>
        <v>3750</v>
      </c>
      <c r="E21" s="38">
        <v>5</v>
      </c>
      <c r="F21" t="s">
        <v>50</v>
      </c>
      <c r="G21" s="3">
        <v>750</v>
      </c>
    </row>
    <row r="22" spans="1:7" x14ac:dyDescent="0.25">
      <c r="A22" s="7">
        <v>7413</v>
      </c>
      <c r="B22" t="s">
        <v>76</v>
      </c>
      <c r="C22" s="3">
        <f t="shared" si="3"/>
        <v>3250</v>
      </c>
      <c r="E22" s="38">
        <v>5</v>
      </c>
      <c r="F22" t="s">
        <v>50</v>
      </c>
      <c r="G22" s="3">
        <v>650</v>
      </c>
    </row>
    <row r="23" spans="1:7" x14ac:dyDescent="0.25">
      <c r="A23" s="7">
        <v>7419</v>
      </c>
      <c r="B23" t="s">
        <v>77</v>
      </c>
      <c r="C23" s="3">
        <f t="shared" ref="C23:C25" si="4">E23*G23</f>
        <v>4500</v>
      </c>
      <c r="E23">
        <v>6</v>
      </c>
      <c r="F23" t="s">
        <v>78</v>
      </c>
      <c r="G23" s="3">
        <v>750</v>
      </c>
    </row>
    <row r="24" spans="1:7" x14ac:dyDescent="0.25">
      <c r="B24" t="s">
        <v>79</v>
      </c>
      <c r="C24" s="3">
        <f t="shared" si="4"/>
        <v>0</v>
      </c>
      <c r="E24">
        <v>0</v>
      </c>
      <c r="F24" t="s">
        <v>80</v>
      </c>
      <c r="G24" s="3">
        <v>10</v>
      </c>
    </row>
    <row r="25" spans="1:7" x14ac:dyDescent="0.25">
      <c r="A25" s="7">
        <v>7423</v>
      </c>
      <c r="B25" t="s">
        <v>81</v>
      </c>
      <c r="C25" s="3">
        <f t="shared" si="4"/>
        <v>2500</v>
      </c>
      <c r="E25">
        <v>5000</v>
      </c>
      <c r="F25" t="s">
        <v>82</v>
      </c>
      <c r="G25" s="3">
        <v>0.5</v>
      </c>
    </row>
    <row r="26" spans="1:7" x14ac:dyDescent="0.25">
      <c r="G26" s="3"/>
    </row>
    <row r="27" spans="1:7" x14ac:dyDescent="0.25">
      <c r="A27" s="243" t="s">
        <v>5</v>
      </c>
      <c r="B27" s="243"/>
      <c r="C27" s="3">
        <f>ROUNDUP(SUM(C4:C25),0)</f>
        <v>163252</v>
      </c>
      <c r="G27" s="3"/>
    </row>
  </sheetData>
  <mergeCells count="2">
    <mergeCell ref="A3:C3"/>
    <mergeCell ref="A27:B2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DAB0B-87ED-40A4-9639-694BF124A571}">
  <sheetPr>
    <pageSetUpPr fitToPage="1"/>
  </sheetPr>
  <dimension ref="A2:AX195"/>
  <sheetViews>
    <sheetView zoomScale="90" zoomScaleNormal="90" workbookViewId="0">
      <pane ySplit="7" topLeftCell="A8" activePane="bottomLeft" state="frozen"/>
      <selection pane="bottomLeft" activeCell="C103" sqref="C103"/>
    </sheetView>
  </sheetViews>
  <sheetFormatPr defaultColWidth="8.5703125" defaultRowHeight="15" x14ac:dyDescent="0.25"/>
  <cols>
    <col min="1" max="1" width="9.5703125" bestFit="1" customWidth="1"/>
    <col min="2" max="2" width="7.42578125" customWidth="1"/>
    <col min="3" max="3" width="50.42578125" customWidth="1"/>
    <col min="4" max="4" width="9.42578125" customWidth="1"/>
    <col min="5" max="5" width="10.5703125" customWidth="1"/>
    <col min="6" max="6" width="9.42578125" customWidth="1"/>
    <col min="7" max="7" width="12.5703125" customWidth="1"/>
    <col min="8" max="8" width="13.5703125" customWidth="1"/>
    <col min="9" max="9" width="7.5703125" style="27" customWidth="1"/>
    <col min="10" max="10" width="0" hidden="1" customWidth="1"/>
    <col min="11" max="11" width="10.42578125" hidden="1" customWidth="1"/>
    <col min="12" max="12" width="5.42578125" hidden="1" customWidth="1"/>
    <col min="13" max="13" width="6.5703125" hidden="1" customWidth="1"/>
    <col min="14" max="14" width="7.42578125" hidden="1" customWidth="1"/>
    <col min="15" max="15" width="8.42578125" style="49" hidden="1" customWidth="1"/>
    <col min="16" max="16" width="10" hidden="1" customWidth="1"/>
    <col min="17" max="17" width="6.5703125" hidden="1" customWidth="1"/>
    <col min="18" max="18" width="7.42578125" hidden="1" customWidth="1"/>
    <col min="19" max="19" width="8.42578125" style="49" hidden="1" customWidth="1"/>
    <col min="20" max="20" width="10" hidden="1" customWidth="1"/>
    <col min="21" max="21" width="21" style="125" customWidth="1"/>
    <col min="22" max="22" width="11.5703125" customWidth="1"/>
    <col min="23" max="23" width="13.42578125" customWidth="1"/>
    <col min="24" max="24" width="27.5703125" customWidth="1"/>
    <col min="25" max="25" width="13.5703125" customWidth="1"/>
    <col min="26" max="26" width="12.5703125" customWidth="1"/>
    <col min="27" max="28" width="17.42578125" customWidth="1"/>
    <col min="29" max="29" width="15.5703125" customWidth="1"/>
    <col min="30" max="30" width="20.42578125" customWidth="1"/>
  </cols>
  <sheetData>
    <row r="2" spans="1:25" x14ac:dyDescent="0.25">
      <c r="A2" s="41" t="s">
        <v>83</v>
      </c>
      <c r="B2" s="42"/>
      <c r="C2" s="41" t="s">
        <v>237</v>
      </c>
      <c r="D2" s="42"/>
      <c r="E2" s="42"/>
      <c r="F2" s="41" t="s">
        <v>84</v>
      </c>
      <c r="G2" s="42"/>
      <c r="H2" s="41" t="s">
        <v>241</v>
      </c>
      <c r="I2" s="43"/>
      <c r="J2" s="41"/>
      <c r="K2" s="42"/>
      <c r="L2" s="42"/>
      <c r="M2" s="41" t="s">
        <v>85</v>
      </c>
      <c r="N2" s="42"/>
      <c r="O2" s="44"/>
      <c r="P2" s="42"/>
      <c r="Q2" s="41"/>
      <c r="R2" s="42"/>
      <c r="S2" s="44"/>
      <c r="T2" s="42"/>
      <c r="U2" s="45"/>
      <c r="V2" s="42"/>
      <c r="W2" s="42"/>
      <c r="X2" s="42"/>
    </row>
    <row r="3" spans="1:25" x14ac:dyDescent="0.25">
      <c r="A3" s="41" t="s">
        <v>3</v>
      </c>
      <c r="B3" s="42"/>
      <c r="C3" s="41" t="s">
        <v>238</v>
      </c>
      <c r="D3" s="42"/>
      <c r="E3" s="42"/>
      <c r="F3" s="41" t="s">
        <v>86</v>
      </c>
      <c r="G3" s="42"/>
      <c r="H3" s="46">
        <v>45501</v>
      </c>
      <c r="I3" s="43"/>
      <c r="J3" s="41"/>
      <c r="K3" s="42"/>
      <c r="L3" s="42"/>
      <c r="M3" s="42"/>
      <c r="N3" s="42"/>
      <c r="O3" s="47"/>
      <c r="P3" s="42"/>
      <c r="Q3" s="42"/>
      <c r="R3" s="42"/>
      <c r="S3" s="47"/>
      <c r="T3" s="42"/>
      <c r="U3" s="45"/>
      <c r="V3" s="42"/>
      <c r="W3" s="42"/>
      <c r="X3" s="42"/>
    </row>
    <row r="4" spans="1:25" x14ac:dyDescent="0.25">
      <c r="A4" s="41" t="s">
        <v>87</v>
      </c>
      <c r="B4" s="42"/>
      <c r="C4" s="41" t="s">
        <v>205</v>
      </c>
      <c r="D4" s="42"/>
      <c r="E4" s="42"/>
      <c r="F4" s="41" t="s">
        <v>88</v>
      </c>
      <c r="G4" s="42"/>
      <c r="H4" s="46">
        <v>45875</v>
      </c>
      <c r="I4" s="43"/>
      <c r="J4" s="41"/>
      <c r="K4" s="42"/>
      <c r="L4" s="42"/>
      <c r="M4" s="42"/>
      <c r="N4" s="42"/>
      <c r="O4" s="47"/>
      <c r="P4" s="42"/>
      <c r="Q4" s="42"/>
      <c r="R4" s="42"/>
      <c r="S4" s="47"/>
      <c r="T4" s="42"/>
      <c r="U4" s="45"/>
      <c r="V4" s="42"/>
      <c r="W4" s="42"/>
      <c r="X4" s="42"/>
    </row>
    <row r="5" spans="1:25" ht="15.75" thickBot="1" x14ac:dyDescent="0.3">
      <c r="A5" s="48"/>
      <c r="F5" s="48"/>
      <c r="U5" s="50"/>
    </row>
    <row r="6" spans="1:25" s="48" customFormat="1" ht="15.75" thickBot="1" x14ac:dyDescent="0.3">
      <c r="A6" s="51"/>
      <c r="B6" s="51"/>
      <c r="C6" s="51"/>
      <c r="D6" s="244" t="s">
        <v>89</v>
      </c>
      <c r="E6" s="245"/>
      <c r="F6" s="246"/>
      <c r="G6" s="51"/>
      <c r="H6" s="52"/>
      <c r="I6" s="53"/>
      <c r="J6" s="247" t="s">
        <v>90</v>
      </c>
      <c r="K6" s="248"/>
      <c r="L6" s="54"/>
      <c r="M6" s="247" t="s">
        <v>91</v>
      </c>
      <c r="N6" s="249"/>
      <c r="O6" s="249"/>
      <c r="P6" s="248"/>
      <c r="Q6" s="247" t="s">
        <v>92</v>
      </c>
      <c r="R6" s="249"/>
      <c r="S6" s="249"/>
      <c r="T6" s="248"/>
      <c r="U6" s="247" t="s">
        <v>93</v>
      </c>
      <c r="V6" s="248"/>
      <c r="W6" s="51"/>
      <c r="X6" s="51"/>
    </row>
    <row r="7" spans="1:25" s="48" customFormat="1" ht="15.75" thickBot="1" x14ac:dyDescent="0.3">
      <c r="A7" s="55" t="s">
        <v>94</v>
      </c>
      <c r="B7" s="55" t="s">
        <v>95</v>
      </c>
      <c r="C7" s="55" t="s">
        <v>96</v>
      </c>
      <c r="D7" s="56" t="s">
        <v>97</v>
      </c>
      <c r="E7" s="41" t="s">
        <v>98</v>
      </c>
      <c r="F7" s="57" t="s">
        <v>99</v>
      </c>
      <c r="G7" s="51" t="s">
        <v>100</v>
      </c>
      <c r="H7" s="56" t="s">
        <v>53</v>
      </c>
      <c r="I7" s="58" t="s">
        <v>54</v>
      </c>
      <c r="J7" s="56" t="s">
        <v>101</v>
      </c>
      <c r="K7" s="57" t="s">
        <v>102</v>
      </c>
      <c r="L7" s="41" t="s">
        <v>103</v>
      </c>
      <c r="M7" s="59" t="s">
        <v>104</v>
      </c>
      <c r="N7" s="43" t="s">
        <v>105</v>
      </c>
      <c r="O7" s="60" t="s">
        <v>55</v>
      </c>
      <c r="P7" s="57" t="s">
        <v>102</v>
      </c>
      <c r="Q7" s="61" t="s">
        <v>106</v>
      </c>
      <c r="R7" s="43" t="s">
        <v>54</v>
      </c>
      <c r="S7" s="43" t="s">
        <v>55</v>
      </c>
      <c r="T7" s="57" t="s">
        <v>102</v>
      </c>
      <c r="U7" s="62" t="s">
        <v>101</v>
      </c>
      <c r="V7" s="57" t="s">
        <v>102</v>
      </c>
      <c r="W7" s="55" t="s">
        <v>40</v>
      </c>
      <c r="X7" s="55" t="s">
        <v>107</v>
      </c>
    </row>
    <row r="8" spans="1:25" ht="15.75" thickBot="1" x14ac:dyDescent="0.3">
      <c r="A8" s="158">
        <v>1</v>
      </c>
      <c r="B8" s="159" t="s">
        <v>108</v>
      </c>
      <c r="C8" s="158"/>
      <c r="D8" s="160"/>
      <c r="E8" s="161"/>
      <c r="F8" s="162"/>
      <c r="G8" s="160"/>
      <c r="H8" s="161"/>
      <c r="I8" s="163"/>
      <c r="J8" s="160"/>
      <c r="K8" s="164">
        <f t="shared" ref="K8:K16" si="0">J8*H8</f>
        <v>0</v>
      </c>
      <c r="L8" s="165"/>
      <c r="M8" s="160"/>
      <c r="N8" s="166">
        <f t="shared" ref="N8:N16" si="1">ROUND(L8*M8*H8,0)</f>
        <v>0</v>
      </c>
      <c r="O8" s="167"/>
      <c r="P8" s="164">
        <f t="shared" ref="P8:P16" si="2">O8*N8</f>
        <v>0</v>
      </c>
      <c r="Q8" s="160"/>
      <c r="R8" s="166"/>
      <c r="S8" s="167"/>
      <c r="T8" s="164">
        <f t="shared" ref="T8:T16" si="3">S8*Q8</f>
        <v>0</v>
      </c>
      <c r="U8" s="168"/>
      <c r="V8" s="164">
        <f t="shared" ref="V8:V16" si="4">H8*U8</f>
        <v>0</v>
      </c>
      <c r="W8" s="169">
        <f t="shared" ref="W8:W16" si="5">V8+T8+P8+K8</f>
        <v>0</v>
      </c>
      <c r="X8" s="158"/>
      <c r="Y8" s="170">
        <f>SUM(W8:W16)</f>
        <v>0</v>
      </c>
    </row>
    <row r="9" spans="1:25" ht="15.75" hidden="1" thickBot="1" x14ac:dyDescent="0.3">
      <c r="A9" s="74">
        <f t="shared" ref="A9:A33" si="6">A8+1</f>
        <v>2</v>
      </c>
      <c r="B9" s="74"/>
      <c r="C9" s="74" t="s">
        <v>109</v>
      </c>
      <c r="D9" s="64"/>
      <c r="E9" s="65"/>
      <c r="F9" s="66"/>
      <c r="G9" s="64"/>
      <c r="H9" s="65">
        <v>0</v>
      </c>
      <c r="I9" s="67" t="s">
        <v>110</v>
      </c>
      <c r="J9" s="64"/>
      <c r="K9" s="68">
        <f t="shared" si="0"/>
        <v>0</v>
      </c>
      <c r="L9" s="69"/>
      <c r="M9" s="64"/>
      <c r="N9" s="70">
        <f t="shared" si="1"/>
        <v>0</v>
      </c>
      <c r="O9" s="85"/>
      <c r="P9" s="68">
        <f t="shared" si="2"/>
        <v>0</v>
      </c>
      <c r="Q9" s="64"/>
      <c r="R9" s="70"/>
      <c r="S9" s="85"/>
      <c r="T9" s="68">
        <f t="shared" si="3"/>
        <v>0</v>
      </c>
      <c r="U9" s="82">
        <v>7000</v>
      </c>
      <c r="V9" s="68">
        <f t="shared" si="4"/>
        <v>0</v>
      </c>
      <c r="W9" s="73">
        <f t="shared" si="5"/>
        <v>0</v>
      </c>
      <c r="X9" s="74"/>
      <c r="Y9" s="78"/>
    </row>
    <row r="10" spans="1:25" ht="15.75" hidden="1" thickBot="1" x14ac:dyDescent="0.3">
      <c r="A10" s="74">
        <f t="shared" si="6"/>
        <v>3</v>
      </c>
      <c r="B10" s="74"/>
      <c r="C10" s="74" t="s">
        <v>111</v>
      </c>
      <c r="D10" s="64"/>
      <c r="E10" s="65"/>
      <c r="F10" s="66"/>
      <c r="G10" s="64"/>
      <c r="H10" s="65">
        <v>0</v>
      </c>
      <c r="I10" s="67" t="s">
        <v>110</v>
      </c>
      <c r="J10" s="64"/>
      <c r="K10" s="68">
        <f t="shared" si="0"/>
        <v>0</v>
      </c>
      <c r="L10" s="69"/>
      <c r="M10" s="64"/>
      <c r="N10" s="70">
        <f t="shared" si="1"/>
        <v>0</v>
      </c>
      <c r="O10" s="85"/>
      <c r="P10" s="68">
        <f t="shared" si="2"/>
        <v>0</v>
      </c>
      <c r="Q10" s="64"/>
      <c r="R10" s="70"/>
      <c r="S10" s="85"/>
      <c r="T10" s="68">
        <f t="shared" si="3"/>
        <v>0</v>
      </c>
      <c r="U10" s="82">
        <v>0</v>
      </c>
      <c r="V10" s="68">
        <f t="shared" si="4"/>
        <v>0</v>
      </c>
      <c r="W10" s="73">
        <f t="shared" si="5"/>
        <v>0</v>
      </c>
      <c r="X10" s="74"/>
    </row>
    <row r="11" spans="1:25" ht="15.75" hidden="1" thickBot="1" x14ac:dyDescent="0.3">
      <c r="A11" s="74">
        <f t="shared" si="6"/>
        <v>4</v>
      </c>
      <c r="B11" s="74"/>
      <c r="C11" s="74" t="s">
        <v>112</v>
      </c>
      <c r="D11" s="64"/>
      <c r="E11" s="65"/>
      <c r="F11" s="66"/>
      <c r="G11" s="64"/>
      <c r="H11" s="65">
        <v>0</v>
      </c>
      <c r="I11" s="67" t="s">
        <v>110</v>
      </c>
      <c r="J11" s="64"/>
      <c r="K11" s="68">
        <f t="shared" si="0"/>
        <v>0</v>
      </c>
      <c r="L11" s="69"/>
      <c r="M11" s="64"/>
      <c r="N11" s="70">
        <f t="shared" si="1"/>
        <v>0</v>
      </c>
      <c r="O11" s="85"/>
      <c r="P11" s="68">
        <f t="shared" si="2"/>
        <v>0</v>
      </c>
      <c r="Q11" s="64"/>
      <c r="R11" s="70"/>
      <c r="S11" s="85"/>
      <c r="T11" s="68">
        <f t="shared" si="3"/>
        <v>0</v>
      </c>
      <c r="U11" s="82">
        <v>0</v>
      </c>
      <c r="V11" s="68">
        <f t="shared" si="4"/>
        <v>0</v>
      </c>
      <c r="W11" s="73">
        <f t="shared" si="5"/>
        <v>0</v>
      </c>
      <c r="X11" s="74"/>
    </row>
    <row r="12" spans="1:25" ht="15.75" hidden="1" thickBot="1" x14ac:dyDescent="0.3">
      <c r="A12" s="74">
        <f t="shared" si="6"/>
        <v>5</v>
      </c>
      <c r="B12" s="74"/>
      <c r="C12" s="74" t="s">
        <v>113</v>
      </c>
      <c r="D12" s="64"/>
      <c r="E12" s="65"/>
      <c r="F12" s="66"/>
      <c r="G12" s="64"/>
      <c r="H12" s="65">
        <v>0</v>
      </c>
      <c r="I12" s="67" t="s">
        <v>110</v>
      </c>
      <c r="J12" s="64"/>
      <c r="K12" s="68">
        <f t="shared" si="0"/>
        <v>0</v>
      </c>
      <c r="L12" s="69"/>
      <c r="M12" s="64"/>
      <c r="N12" s="70">
        <f t="shared" si="1"/>
        <v>0</v>
      </c>
      <c r="O12" s="85"/>
      <c r="P12" s="68">
        <f t="shared" si="2"/>
        <v>0</v>
      </c>
      <c r="Q12" s="64"/>
      <c r="R12" s="70"/>
      <c r="S12" s="85"/>
      <c r="T12" s="68">
        <f t="shared" si="3"/>
        <v>0</v>
      </c>
      <c r="U12" s="82">
        <v>0</v>
      </c>
      <c r="V12" s="68">
        <f t="shared" si="4"/>
        <v>0</v>
      </c>
      <c r="W12" s="73">
        <f t="shared" si="5"/>
        <v>0</v>
      </c>
      <c r="X12" s="74"/>
    </row>
    <row r="13" spans="1:25" ht="15.75" hidden="1" thickBot="1" x14ac:dyDescent="0.3">
      <c r="A13" s="74">
        <f t="shared" si="6"/>
        <v>6</v>
      </c>
      <c r="B13" s="74"/>
      <c r="C13" s="74" t="s">
        <v>114</v>
      </c>
      <c r="D13" s="64"/>
      <c r="E13" s="65"/>
      <c r="F13" s="66"/>
      <c r="G13" s="64"/>
      <c r="H13" s="65">
        <v>0</v>
      </c>
      <c r="I13" s="67" t="s">
        <v>110</v>
      </c>
      <c r="J13" s="64"/>
      <c r="K13" s="68">
        <f t="shared" si="0"/>
        <v>0</v>
      </c>
      <c r="L13" s="69"/>
      <c r="M13" s="64"/>
      <c r="N13" s="70">
        <f t="shared" si="1"/>
        <v>0</v>
      </c>
      <c r="O13" s="85"/>
      <c r="P13" s="68">
        <f t="shared" si="2"/>
        <v>0</v>
      </c>
      <c r="Q13" s="64"/>
      <c r="R13" s="70"/>
      <c r="S13" s="85"/>
      <c r="T13" s="68">
        <f t="shared" si="3"/>
        <v>0</v>
      </c>
      <c r="U13" s="82">
        <v>0</v>
      </c>
      <c r="V13" s="68">
        <f t="shared" si="4"/>
        <v>0</v>
      </c>
      <c r="W13" s="73">
        <f t="shared" si="5"/>
        <v>0</v>
      </c>
      <c r="X13" s="74"/>
    </row>
    <row r="14" spans="1:25" ht="15.75" hidden="1" thickBot="1" x14ac:dyDescent="0.3">
      <c r="A14" s="74">
        <f t="shared" si="6"/>
        <v>7</v>
      </c>
      <c r="B14" s="74"/>
      <c r="C14" s="74" t="s">
        <v>115</v>
      </c>
      <c r="D14" s="64"/>
      <c r="E14" s="65"/>
      <c r="F14" s="66"/>
      <c r="G14" s="64"/>
      <c r="H14" s="65">
        <v>0</v>
      </c>
      <c r="I14" s="67" t="s">
        <v>110</v>
      </c>
      <c r="J14" s="64"/>
      <c r="K14" s="68">
        <f t="shared" si="0"/>
        <v>0</v>
      </c>
      <c r="L14" s="69"/>
      <c r="M14" s="64"/>
      <c r="N14" s="70">
        <f t="shared" si="1"/>
        <v>0</v>
      </c>
      <c r="O14" s="85"/>
      <c r="P14" s="68">
        <f t="shared" si="2"/>
        <v>0</v>
      </c>
      <c r="Q14" s="64"/>
      <c r="R14" s="70"/>
      <c r="S14" s="85"/>
      <c r="T14" s="68">
        <f t="shared" si="3"/>
        <v>0</v>
      </c>
      <c r="U14" s="82">
        <v>5000</v>
      </c>
      <c r="V14" s="68">
        <f t="shared" si="4"/>
        <v>0</v>
      </c>
      <c r="W14" s="73">
        <f t="shared" si="5"/>
        <v>0</v>
      </c>
      <c r="X14" s="74"/>
    </row>
    <row r="15" spans="1:25" ht="15.75" hidden="1" thickBot="1" x14ac:dyDescent="0.3">
      <c r="A15" s="74">
        <f t="shared" si="6"/>
        <v>8</v>
      </c>
      <c r="B15" s="74"/>
      <c r="C15" s="74" t="s">
        <v>116</v>
      </c>
      <c r="D15" s="64"/>
      <c r="E15" s="65"/>
      <c r="F15" s="66"/>
      <c r="G15" s="64"/>
      <c r="H15" s="65">
        <v>0</v>
      </c>
      <c r="I15" s="67" t="s">
        <v>110</v>
      </c>
      <c r="J15" s="64"/>
      <c r="K15" s="68">
        <f t="shared" si="0"/>
        <v>0</v>
      </c>
      <c r="L15" s="69"/>
      <c r="M15" s="64"/>
      <c r="N15" s="70">
        <f t="shared" si="1"/>
        <v>0</v>
      </c>
      <c r="O15" s="85"/>
      <c r="P15" s="68">
        <f t="shared" si="2"/>
        <v>0</v>
      </c>
      <c r="Q15" s="64"/>
      <c r="R15" s="70"/>
      <c r="S15" s="85"/>
      <c r="T15" s="68">
        <f t="shared" si="3"/>
        <v>0</v>
      </c>
      <c r="U15" s="82">
        <v>5000</v>
      </c>
      <c r="V15" s="68">
        <f t="shared" si="4"/>
        <v>0</v>
      </c>
      <c r="W15" s="73">
        <f t="shared" si="5"/>
        <v>0</v>
      </c>
      <c r="X15" s="74"/>
    </row>
    <row r="16" spans="1:25" ht="15.75" hidden="1" thickBot="1" x14ac:dyDescent="0.3">
      <c r="A16" s="74">
        <f t="shared" si="6"/>
        <v>9</v>
      </c>
      <c r="B16" s="74"/>
      <c r="C16" s="74" t="s">
        <v>117</v>
      </c>
      <c r="D16" s="64"/>
      <c r="E16" s="65"/>
      <c r="F16" s="66"/>
      <c r="G16" s="64"/>
      <c r="H16" s="65">
        <v>0</v>
      </c>
      <c r="I16" s="67" t="s">
        <v>110</v>
      </c>
      <c r="J16" s="64"/>
      <c r="K16" s="68">
        <f t="shared" si="0"/>
        <v>0</v>
      </c>
      <c r="L16" s="69"/>
      <c r="M16" s="64"/>
      <c r="N16" s="70">
        <f t="shared" si="1"/>
        <v>0</v>
      </c>
      <c r="O16" s="85"/>
      <c r="P16" s="68">
        <f t="shared" si="2"/>
        <v>0</v>
      </c>
      <c r="Q16" s="64"/>
      <c r="R16" s="70"/>
      <c r="S16" s="85"/>
      <c r="T16" s="68">
        <f t="shared" si="3"/>
        <v>0</v>
      </c>
      <c r="U16" s="82">
        <v>1000</v>
      </c>
      <c r="V16" s="68">
        <f t="shared" si="4"/>
        <v>0</v>
      </c>
      <c r="W16" s="73">
        <f t="shared" si="5"/>
        <v>0</v>
      </c>
      <c r="X16" s="74"/>
    </row>
    <row r="17" spans="1:50" ht="15.75" thickBot="1" x14ac:dyDescent="0.3">
      <c r="A17" s="158">
        <f>A16+1</f>
        <v>10</v>
      </c>
      <c r="B17" s="159" t="s">
        <v>118</v>
      </c>
      <c r="C17" s="171"/>
      <c r="D17" s="160"/>
      <c r="E17" s="161"/>
      <c r="F17" s="162"/>
      <c r="G17" s="160"/>
      <c r="H17" s="161"/>
      <c r="I17" s="163"/>
      <c r="J17" s="160"/>
      <c r="K17" s="164">
        <f>J17*H17</f>
        <v>0</v>
      </c>
      <c r="L17" s="165"/>
      <c r="M17" s="160"/>
      <c r="N17" s="166">
        <f>ROUND(L17*M17*H17,0)</f>
        <v>0</v>
      </c>
      <c r="O17" s="167"/>
      <c r="P17" s="164">
        <f>O17*N17</f>
        <v>0</v>
      </c>
      <c r="Q17" s="160"/>
      <c r="R17" s="166"/>
      <c r="S17" s="167"/>
      <c r="T17" s="164">
        <f t="shared" ref="T17:T31" si="7">S17*Q17</f>
        <v>0</v>
      </c>
      <c r="U17" s="168"/>
      <c r="V17" s="164">
        <f>H17*U17</f>
        <v>0</v>
      </c>
      <c r="W17" s="169">
        <f t="shared" ref="W17:W31" si="8">V17+T17+P17+K17</f>
        <v>0</v>
      </c>
      <c r="X17" s="172"/>
      <c r="Y17" s="170">
        <f>SUM(W17:W22)</f>
        <v>0</v>
      </c>
    </row>
    <row r="18" spans="1:50" ht="15.75" hidden="1" thickBot="1" x14ac:dyDescent="0.3">
      <c r="A18" s="74">
        <f t="shared" si="6"/>
        <v>11</v>
      </c>
      <c r="B18" s="74"/>
      <c r="C18" s="74" t="s">
        <v>119</v>
      </c>
      <c r="D18" s="64"/>
      <c r="E18" s="65"/>
      <c r="F18" s="66"/>
      <c r="G18" s="64"/>
      <c r="H18" s="65">
        <v>0</v>
      </c>
      <c r="I18" s="67" t="s">
        <v>110</v>
      </c>
      <c r="J18" s="64"/>
      <c r="K18" s="68">
        <f t="shared" ref="K18:K31" si="9">J18*H18</f>
        <v>0</v>
      </c>
      <c r="L18" s="69"/>
      <c r="M18" s="64"/>
      <c r="N18" s="70">
        <f t="shared" ref="N18:N31" si="10">ROUND(L18*M18*H18,0)</f>
        <v>0</v>
      </c>
      <c r="O18" s="85"/>
      <c r="P18" s="68">
        <f t="shared" ref="P18:P31" si="11">O18*N18</f>
        <v>0</v>
      </c>
      <c r="Q18" s="64"/>
      <c r="R18" s="70"/>
      <c r="S18" s="85"/>
      <c r="T18" s="68">
        <f t="shared" si="7"/>
        <v>0</v>
      </c>
      <c r="U18" s="82">
        <v>4000</v>
      </c>
      <c r="V18" s="68">
        <f t="shared" ref="V18" si="12">H18*U18</f>
        <v>0</v>
      </c>
      <c r="W18" s="73">
        <f t="shared" si="8"/>
        <v>0</v>
      </c>
      <c r="X18" s="74"/>
    </row>
    <row r="19" spans="1:50" ht="15.75" hidden="1" thickBot="1" x14ac:dyDescent="0.3">
      <c r="A19" s="74">
        <f t="shared" si="6"/>
        <v>12</v>
      </c>
      <c r="B19" s="74"/>
      <c r="C19" s="74" t="s">
        <v>120</v>
      </c>
      <c r="D19" s="64"/>
      <c r="E19" s="65"/>
      <c r="F19" s="66"/>
      <c r="G19" s="64"/>
      <c r="H19" s="65"/>
      <c r="I19" s="67" t="s">
        <v>110</v>
      </c>
      <c r="J19" s="64"/>
      <c r="K19" s="68">
        <f t="shared" si="9"/>
        <v>0</v>
      </c>
      <c r="L19" s="69"/>
      <c r="M19" s="64"/>
      <c r="N19" s="70">
        <f t="shared" si="10"/>
        <v>0</v>
      </c>
      <c r="O19" s="85"/>
      <c r="P19" s="68">
        <f t="shared" si="11"/>
        <v>0</v>
      </c>
      <c r="Q19" s="64"/>
      <c r="R19" s="70"/>
      <c r="S19" s="85"/>
      <c r="T19" s="68">
        <f t="shared" si="7"/>
        <v>0</v>
      </c>
      <c r="U19" s="82">
        <v>0</v>
      </c>
      <c r="V19" s="68">
        <f>H19*U19</f>
        <v>0</v>
      </c>
      <c r="W19" s="73">
        <f t="shared" si="8"/>
        <v>0</v>
      </c>
      <c r="X19" s="74"/>
    </row>
    <row r="20" spans="1:50" ht="15.75" hidden="1" thickBot="1" x14ac:dyDescent="0.3">
      <c r="A20" s="74">
        <f t="shared" si="6"/>
        <v>13</v>
      </c>
      <c r="B20" s="74"/>
      <c r="C20" s="74" t="s">
        <v>121</v>
      </c>
      <c r="D20" s="64"/>
      <c r="E20" s="65"/>
      <c r="F20" s="66"/>
      <c r="G20" s="64"/>
      <c r="H20" s="65">
        <v>0</v>
      </c>
      <c r="I20" s="67" t="s">
        <v>110</v>
      </c>
      <c r="J20" s="64"/>
      <c r="K20" s="68">
        <f t="shared" si="9"/>
        <v>0</v>
      </c>
      <c r="L20" s="69"/>
      <c r="M20" s="64"/>
      <c r="N20" s="70">
        <f t="shared" si="10"/>
        <v>0</v>
      </c>
      <c r="O20" s="85"/>
      <c r="P20" s="68">
        <f t="shared" si="11"/>
        <v>0</v>
      </c>
      <c r="Q20" s="64"/>
      <c r="R20" s="70"/>
      <c r="S20" s="85"/>
      <c r="T20" s="68">
        <f t="shared" si="7"/>
        <v>0</v>
      </c>
      <c r="U20" s="82">
        <v>4000</v>
      </c>
      <c r="V20" s="68">
        <f t="shared" ref="V20:V31" si="13">H20*U20</f>
        <v>0</v>
      </c>
      <c r="W20" s="73">
        <f t="shared" si="8"/>
        <v>0</v>
      </c>
      <c r="X20" s="74"/>
    </row>
    <row r="21" spans="1:50" ht="15.75" hidden="1" thickBot="1" x14ac:dyDescent="0.3">
      <c r="A21" s="74">
        <f t="shared" si="6"/>
        <v>14</v>
      </c>
      <c r="B21" s="74"/>
      <c r="C21" s="74" t="s">
        <v>122</v>
      </c>
      <c r="D21" s="64"/>
      <c r="E21" s="65"/>
      <c r="F21" s="66"/>
      <c r="G21" s="64"/>
      <c r="H21" s="65">
        <v>0</v>
      </c>
      <c r="I21" s="67" t="s">
        <v>110</v>
      </c>
      <c r="J21" s="64"/>
      <c r="K21" s="68">
        <f t="shared" si="9"/>
        <v>0</v>
      </c>
      <c r="L21" s="69"/>
      <c r="M21" s="64"/>
      <c r="N21" s="70">
        <f t="shared" si="10"/>
        <v>0</v>
      </c>
      <c r="O21" s="85"/>
      <c r="P21" s="68">
        <f t="shared" si="11"/>
        <v>0</v>
      </c>
      <c r="Q21" s="64"/>
      <c r="R21" s="70"/>
      <c r="S21" s="85"/>
      <c r="T21" s="68">
        <f t="shared" si="7"/>
        <v>0</v>
      </c>
      <c r="U21" s="82">
        <v>4000</v>
      </c>
      <c r="V21" s="68">
        <f t="shared" si="13"/>
        <v>0</v>
      </c>
      <c r="W21" s="73">
        <f t="shared" si="8"/>
        <v>0</v>
      </c>
      <c r="X21" s="74"/>
    </row>
    <row r="22" spans="1:50" ht="15.75" hidden="1" thickBot="1" x14ac:dyDescent="0.3">
      <c r="A22" s="74">
        <f t="shared" si="6"/>
        <v>15</v>
      </c>
      <c r="B22" s="74"/>
      <c r="C22" s="74"/>
      <c r="D22" s="64"/>
      <c r="E22" s="65"/>
      <c r="F22" s="66"/>
      <c r="G22" s="64"/>
      <c r="H22" s="65"/>
      <c r="I22" s="67"/>
      <c r="J22" s="64"/>
      <c r="K22" s="68">
        <f t="shared" si="9"/>
        <v>0</v>
      </c>
      <c r="L22" s="69"/>
      <c r="M22" s="64"/>
      <c r="N22" s="70">
        <f t="shared" si="10"/>
        <v>0</v>
      </c>
      <c r="O22" s="71"/>
      <c r="P22" s="68">
        <f t="shared" si="11"/>
        <v>0</v>
      </c>
      <c r="Q22" s="64"/>
      <c r="R22" s="70"/>
      <c r="S22" s="71"/>
      <c r="T22" s="68">
        <f t="shared" si="7"/>
        <v>0</v>
      </c>
      <c r="U22" s="72"/>
      <c r="V22" s="68">
        <f t="shared" si="13"/>
        <v>0</v>
      </c>
      <c r="W22" s="73">
        <f t="shared" si="8"/>
        <v>0</v>
      </c>
      <c r="X22" s="74"/>
    </row>
    <row r="23" spans="1:50" ht="15.75" thickBot="1" x14ac:dyDescent="0.3">
      <c r="A23" s="158">
        <f t="shared" si="6"/>
        <v>16</v>
      </c>
      <c r="B23" s="159" t="s">
        <v>123</v>
      </c>
      <c r="C23" s="158"/>
      <c r="D23" s="160"/>
      <c r="E23" s="161"/>
      <c r="F23" s="162"/>
      <c r="G23" s="160"/>
      <c r="H23" s="161"/>
      <c r="I23" s="163"/>
      <c r="J23" s="160"/>
      <c r="K23" s="164">
        <f t="shared" si="9"/>
        <v>0</v>
      </c>
      <c r="L23" s="165"/>
      <c r="M23" s="160"/>
      <c r="N23" s="166">
        <f t="shared" si="10"/>
        <v>0</v>
      </c>
      <c r="O23" s="167"/>
      <c r="P23" s="164">
        <f t="shared" si="11"/>
        <v>0</v>
      </c>
      <c r="Q23" s="160"/>
      <c r="R23" s="166"/>
      <c r="S23" s="167"/>
      <c r="T23" s="164">
        <f t="shared" si="7"/>
        <v>0</v>
      </c>
      <c r="U23" s="168"/>
      <c r="V23" s="164">
        <f t="shared" si="13"/>
        <v>0</v>
      </c>
      <c r="W23" s="169">
        <f t="shared" si="8"/>
        <v>0</v>
      </c>
      <c r="X23" s="158"/>
      <c r="Y23" s="170">
        <f>SUM(W23:W25)</f>
        <v>0</v>
      </c>
    </row>
    <row r="24" spans="1:50" ht="15.75" hidden="1" thickBot="1" x14ac:dyDescent="0.3">
      <c r="A24" s="74">
        <f t="shared" si="6"/>
        <v>17</v>
      </c>
      <c r="B24" s="74"/>
      <c r="C24" s="74"/>
      <c r="D24" s="64"/>
      <c r="E24" s="65"/>
      <c r="F24" s="66"/>
      <c r="G24" s="64"/>
      <c r="H24" s="65">
        <v>0</v>
      </c>
      <c r="I24" s="67" t="s">
        <v>110</v>
      </c>
      <c r="J24" s="64"/>
      <c r="K24" s="68">
        <f t="shared" si="9"/>
        <v>0</v>
      </c>
      <c r="L24" s="69">
        <v>1</v>
      </c>
      <c r="M24" s="64">
        <v>4</v>
      </c>
      <c r="N24" s="70">
        <f t="shared" si="10"/>
        <v>0</v>
      </c>
      <c r="O24" s="71">
        <v>50</v>
      </c>
      <c r="P24" s="68">
        <f t="shared" si="11"/>
        <v>0</v>
      </c>
      <c r="Q24" s="64"/>
      <c r="R24" s="70"/>
      <c r="S24" s="71"/>
      <c r="T24" s="68">
        <f t="shared" si="7"/>
        <v>0</v>
      </c>
      <c r="U24" s="72">
        <v>0</v>
      </c>
      <c r="V24" s="68">
        <f t="shared" si="13"/>
        <v>0</v>
      </c>
      <c r="W24" s="73">
        <f>V24+T24+P24+K24</f>
        <v>0</v>
      </c>
      <c r="X24" s="74"/>
    </row>
    <row r="25" spans="1:50" ht="15.75" hidden="1" thickBot="1" x14ac:dyDescent="0.3">
      <c r="A25" s="74">
        <f>A24+1</f>
        <v>18</v>
      </c>
      <c r="B25" s="74"/>
      <c r="C25" s="74"/>
      <c r="D25" s="64"/>
      <c r="E25" s="65"/>
      <c r="F25" s="66"/>
      <c r="G25" s="64"/>
      <c r="H25" s="65">
        <v>0</v>
      </c>
      <c r="I25" s="67" t="s">
        <v>110</v>
      </c>
      <c r="J25" s="64"/>
      <c r="K25" s="68">
        <f t="shared" si="9"/>
        <v>0</v>
      </c>
      <c r="L25" s="69"/>
      <c r="M25" s="64"/>
      <c r="N25" s="70">
        <f t="shared" si="10"/>
        <v>0</v>
      </c>
      <c r="O25" s="71"/>
      <c r="P25" s="68">
        <f t="shared" si="11"/>
        <v>0</v>
      </c>
      <c r="Q25" s="64"/>
      <c r="R25" s="70"/>
      <c r="S25" s="71"/>
      <c r="T25" s="68">
        <f t="shared" si="7"/>
        <v>0</v>
      </c>
      <c r="U25" s="72">
        <v>0</v>
      </c>
      <c r="V25" s="68">
        <f t="shared" si="13"/>
        <v>0</v>
      </c>
      <c r="W25" s="73">
        <f t="shared" si="8"/>
        <v>0</v>
      </c>
      <c r="X25" s="74" t="s">
        <v>124</v>
      </c>
    </row>
    <row r="26" spans="1:50" ht="15.75" thickBot="1" x14ac:dyDescent="0.3">
      <c r="A26" s="158">
        <f t="shared" si="6"/>
        <v>19</v>
      </c>
      <c r="B26" s="159" t="s">
        <v>125</v>
      </c>
      <c r="C26" s="174"/>
      <c r="D26" s="160"/>
      <c r="E26" s="161"/>
      <c r="F26" s="162"/>
      <c r="G26" s="160"/>
      <c r="H26" s="161"/>
      <c r="I26" s="163"/>
      <c r="J26" s="160"/>
      <c r="K26" s="164">
        <f t="shared" si="9"/>
        <v>0</v>
      </c>
      <c r="L26" s="165"/>
      <c r="M26" s="160"/>
      <c r="N26" s="166">
        <f t="shared" si="10"/>
        <v>0</v>
      </c>
      <c r="O26" s="167"/>
      <c r="P26" s="164">
        <f t="shared" si="11"/>
        <v>0</v>
      </c>
      <c r="Q26" s="160"/>
      <c r="R26" s="166"/>
      <c r="S26" s="167"/>
      <c r="T26" s="164">
        <f t="shared" si="7"/>
        <v>0</v>
      </c>
      <c r="U26" s="168"/>
      <c r="V26" s="164">
        <f t="shared" si="13"/>
        <v>0</v>
      </c>
      <c r="W26" s="169">
        <f t="shared" ref="W26:W29" si="14">V26+T26+P26+K26</f>
        <v>0</v>
      </c>
      <c r="X26" s="158"/>
      <c r="Y26" s="170">
        <f>SUM(W26:W32)</f>
        <v>0</v>
      </c>
      <c r="AC26" s="148"/>
      <c r="AD26" s="127"/>
      <c r="AE26" s="127"/>
      <c r="AF26" s="127"/>
      <c r="AG26" s="127"/>
      <c r="AH26" s="127"/>
      <c r="AI26" s="144"/>
      <c r="AJ26" s="127"/>
      <c r="AK26" s="78"/>
      <c r="AL26" s="145"/>
      <c r="AM26" s="127"/>
      <c r="AN26" s="146"/>
      <c r="AO26" s="147"/>
      <c r="AP26" s="78"/>
      <c r="AQ26" s="127"/>
      <c r="AR26" s="146"/>
      <c r="AS26" s="147"/>
      <c r="AT26" s="78"/>
      <c r="AU26" s="147"/>
      <c r="AV26" s="78"/>
      <c r="AW26" s="78"/>
      <c r="AX26" s="149"/>
    </row>
    <row r="27" spans="1:50" ht="15.75" hidden="1" thickBot="1" x14ac:dyDescent="0.3">
      <c r="A27" s="74">
        <f t="shared" si="6"/>
        <v>20</v>
      </c>
      <c r="B27" s="74"/>
      <c r="C27" s="74" t="s">
        <v>126</v>
      </c>
      <c r="D27" s="64"/>
      <c r="E27" s="65"/>
      <c r="F27" s="66"/>
      <c r="G27" s="64"/>
      <c r="H27" s="65"/>
      <c r="I27" s="67" t="s">
        <v>78</v>
      </c>
      <c r="J27" s="64"/>
      <c r="K27" s="68">
        <f t="shared" si="9"/>
        <v>0</v>
      </c>
      <c r="L27" s="69"/>
      <c r="M27" s="64"/>
      <c r="N27" s="70">
        <f t="shared" si="10"/>
        <v>0</v>
      </c>
      <c r="O27" s="85"/>
      <c r="P27" s="68">
        <f t="shared" si="11"/>
        <v>0</v>
      </c>
      <c r="Q27" s="64"/>
      <c r="R27" s="70"/>
      <c r="S27" s="85"/>
      <c r="T27" s="68">
        <f t="shared" si="7"/>
        <v>0</v>
      </c>
      <c r="U27" s="82">
        <v>2500</v>
      </c>
      <c r="V27" s="68">
        <f t="shared" si="13"/>
        <v>0</v>
      </c>
      <c r="W27" s="73">
        <f t="shared" si="14"/>
        <v>0</v>
      </c>
      <c r="X27" s="74" t="s">
        <v>220</v>
      </c>
      <c r="AC27" s="148"/>
      <c r="AD27" s="127"/>
      <c r="AE27" s="127"/>
      <c r="AF27" s="127"/>
      <c r="AG27" s="127"/>
      <c r="AH27" s="127"/>
      <c r="AI27" s="144"/>
      <c r="AJ27" s="127"/>
      <c r="AK27" s="78"/>
      <c r="AL27" s="145"/>
      <c r="AM27" s="127"/>
      <c r="AN27" s="146"/>
      <c r="AO27" s="147"/>
      <c r="AP27" s="78"/>
      <c r="AQ27" s="127"/>
      <c r="AR27" s="146"/>
      <c r="AS27" s="147"/>
      <c r="AT27" s="78"/>
      <c r="AU27" s="147"/>
      <c r="AV27" s="78"/>
      <c r="AW27" s="78"/>
    </row>
    <row r="28" spans="1:50" ht="15.75" hidden="1" thickBot="1" x14ac:dyDescent="0.3">
      <c r="A28" s="74">
        <f t="shared" si="6"/>
        <v>21</v>
      </c>
      <c r="B28" s="74"/>
      <c r="C28" s="74" t="s">
        <v>128</v>
      </c>
      <c r="D28" s="64"/>
      <c r="E28" s="65"/>
      <c r="F28" s="66"/>
      <c r="G28" s="65"/>
      <c r="H28" s="65"/>
      <c r="I28" s="67" t="s">
        <v>78</v>
      </c>
      <c r="J28" s="64"/>
      <c r="K28" s="68">
        <f t="shared" si="9"/>
        <v>0</v>
      </c>
      <c r="L28" s="69"/>
      <c r="M28" s="64"/>
      <c r="N28" s="70">
        <f t="shared" si="10"/>
        <v>0</v>
      </c>
      <c r="O28" s="85"/>
      <c r="P28" s="68">
        <f t="shared" si="11"/>
        <v>0</v>
      </c>
      <c r="Q28" s="64"/>
      <c r="R28" s="70"/>
      <c r="S28" s="85"/>
      <c r="T28" s="68">
        <f t="shared" si="7"/>
        <v>0</v>
      </c>
      <c r="U28" s="82">
        <v>5000</v>
      </c>
      <c r="V28" s="68">
        <f t="shared" si="13"/>
        <v>0</v>
      </c>
      <c r="W28" s="73">
        <f t="shared" si="14"/>
        <v>0</v>
      </c>
      <c r="X28" s="74" t="s">
        <v>220</v>
      </c>
      <c r="Y28" t="s">
        <v>228</v>
      </c>
      <c r="Z28" s="3">
        <v>18300</v>
      </c>
      <c r="AC28" s="148"/>
      <c r="AD28" s="127"/>
      <c r="AE28" s="127"/>
      <c r="AF28" s="127"/>
      <c r="AG28" s="127"/>
      <c r="AH28" s="127"/>
      <c r="AI28" s="144"/>
      <c r="AJ28" s="127"/>
      <c r="AK28" s="78"/>
      <c r="AL28" s="145"/>
      <c r="AM28" s="127"/>
      <c r="AN28" s="146"/>
      <c r="AO28" s="147"/>
      <c r="AP28" s="78"/>
      <c r="AQ28" s="127"/>
      <c r="AR28" s="146"/>
      <c r="AS28" s="147"/>
      <c r="AT28" s="78"/>
      <c r="AU28" s="147"/>
      <c r="AV28" s="78"/>
      <c r="AW28" s="78"/>
      <c r="AX28" s="149"/>
    </row>
    <row r="29" spans="1:50" s="83" customFormat="1" ht="15.75" hidden="1" thickBot="1" x14ac:dyDescent="0.3">
      <c r="A29" s="74">
        <f t="shared" si="6"/>
        <v>22</v>
      </c>
      <c r="B29" s="74"/>
      <c r="C29" s="74" t="s">
        <v>129</v>
      </c>
      <c r="D29" s="64"/>
      <c r="E29" s="65"/>
      <c r="F29" s="66"/>
      <c r="G29" s="65"/>
      <c r="H29" s="65"/>
      <c r="I29" s="67" t="s">
        <v>78</v>
      </c>
      <c r="J29" s="64"/>
      <c r="K29" s="68">
        <f t="shared" si="9"/>
        <v>0</v>
      </c>
      <c r="L29" s="69"/>
      <c r="M29" s="64"/>
      <c r="N29" s="70">
        <f t="shared" si="10"/>
        <v>0</v>
      </c>
      <c r="O29" s="85"/>
      <c r="P29" s="68">
        <f t="shared" si="11"/>
        <v>0</v>
      </c>
      <c r="Q29" s="64"/>
      <c r="R29" s="70"/>
      <c r="S29" s="85"/>
      <c r="T29" s="68">
        <f t="shared" si="7"/>
        <v>0</v>
      </c>
      <c r="U29" s="82">
        <v>200</v>
      </c>
      <c r="V29" s="68">
        <f t="shared" si="13"/>
        <v>0</v>
      </c>
      <c r="W29" s="73">
        <f t="shared" si="14"/>
        <v>0</v>
      </c>
      <c r="X29" s="74" t="s">
        <v>220</v>
      </c>
      <c r="Y29" s="76"/>
      <c r="AA29"/>
      <c r="AC29" s="150"/>
      <c r="AD29" s="151"/>
      <c r="AE29" s="151"/>
      <c r="AF29" s="151"/>
      <c r="AG29" s="151"/>
      <c r="AH29" s="151"/>
      <c r="AI29" s="152"/>
      <c r="AJ29" s="151"/>
      <c r="AK29" s="76"/>
      <c r="AL29" s="153"/>
      <c r="AM29" s="151"/>
      <c r="AN29" s="154"/>
      <c r="AO29" s="155"/>
      <c r="AP29" s="76"/>
      <c r="AQ29" s="151"/>
      <c r="AR29" s="154"/>
      <c r="AS29" s="155"/>
      <c r="AT29" s="76"/>
      <c r="AU29" s="155"/>
      <c r="AV29" s="76"/>
      <c r="AW29" s="76"/>
      <c r="AX29" s="150"/>
    </row>
    <row r="30" spans="1:50" ht="15.75" hidden="1" thickBot="1" x14ac:dyDescent="0.3">
      <c r="A30" s="74">
        <f t="shared" si="6"/>
        <v>23</v>
      </c>
      <c r="B30" s="74"/>
      <c r="C30" s="74" t="s">
        <v>130</v>
      </c>
      <c r="D30" s="64"/>
      <c r="E30" s="65"/>
      <c r="F30" s="66"/>
      <c r="H30" s="65"/>
      <c r="I30" s="67" t="s">
        <v>63</v>
      </c>
      <c r="J30" s="64"/>
      <c r="K30" s="68">
        <f>J30*H30</f>
        <v>0</v>
      </c>
      <c r="L30" s="69"/>
      <c r="M30" s="64"/>
      <c r="N30" s="70">
        <f>ROUND(L30*M30*H30,0)</f>
        <v>0</v>
      </c>
      <c r="O30" s="85"/>
      <c r="P30" s="68">
        <f>O30*N30</f>
        <v>0</v>
      </c>
      <c r="Q30" s="64"/>
      <c r="R30" s="70"/>
      <c r="S30" s="85"/>
      <c r="T30" s="68">
        <f>S30*Q30</f>
        <v>0</v>
      </c>
      <c r="U30" s="82">
        <v>1050</v>
      </c>
      <c r="V30" s="68">
        <f>H30*U30</f>
        <v>0</v>
      </c>
      <c r="W30" s="73">
        <f>V30+T30+P30+K30</f>
        <v>0</v>
      </c>
      <c r="X30" s="74" t="s">
        <v>220</v>
      </c>
    </row>
    <row r="31" spans="1:50" ht="15.75" hidden="1" thickBot="1" x14ac:dyDescent="0.3">
      <c r="A31" s="74">
        <f t="shared" si="6"/>
        <v>24</v>
      </c>
      <c r="B31" s="74"/>
      <c r="C31" s="84" t="s">
        <v>221</v>
      </c>
      <c r="D31" s="64"/>
      <c r="E31" s="65"/>
      <c r="F31" s="66"/>
      <c r="G31" s="65"/>
      <c r="H31" s="65"/>
      <c r="I31" s="67" t="s">
        <v>110</v>
      </c>
      <c r="J31" s="64"/>
      <c r="K31" s="68">
        <f t="shared" si="9"/>
        <v>0</v>
      </c>
      <c r="L31" s="69"/>
      <c r="M31" s="64"/>
      <c r="N31" s="70">
        <f t="shared" si="10"/>
        <v>0</v>
      </c>
      <c r="O31" s="85"/>
      <c r="P31" s="68">
        <f t="shared" si="11"/>
        <v>0</v>
      </c>
      <c r="Q31" s="64"/>
      <c r="R31" s="70"/>
      <c r="S31" s="85"/>
      <c r="T31" s="68">
        <f t="shared" si="7"/>
        <v>0</v>
      </c>
      <c r="U31" s="82">
        <v>20000</v>
      </c>
      <c r="V31" s="68">
        <f t="shared" si="13"/>
        <v>0</v>
      </c>
      <c r="W31" s="73">
        <f t="shared" si="8"/>
        <v>0</v>
      </c>
      <c r="X31" s="74" t="s">
        <v>127</v>
      </c>
    </row>
    <row r="32" spans="1:50" ht="15.75" hidden="1" thickBot="1" x14ac:dyDescent="0.3">
      <c r="A32" s="74">
        <f t="shared" si="6"/>
        <v>25</v>
      </c>
      <c r="B32" s="74"/>
      <c r="C32" s="75"/>
      <c r="D32" s="64"/>
      <c r="E32" s="65"/>
      <c r="F32" s="66"/>
      <c r="G32" s="64"/>
      <c r="H32" s="65">
        <v>0</v>
      </c>
      <c r="I32" s="67" t="s">
        <v>110</v>
      </c>
      <c r="J32" s="64"/>
      <c r="K32" s="68">
        <f t="shared" ref="K32" si="15">J32*H32</f>
        <v>0</v>
      </c>
      <c r="L32" s="69"/>
      <c r="M32" s="64"/>
      <c r="N32" s="70">
        <f t="shared" ref="N32" si="16">ROUND(L32*M32*H32,0)</f>
        <v>0</v>
      </c>
      <c r="O32" s="85"/>
      <c r="P32" s="68">
        <f t="shared" ref="P32" si="17">O32*N32</f>
        <v>0</v>
      </c>
      <c r="Q32" s="64"/>
      <c r="R32" s="70"/>
      <c r="S32" s="85"/>
      <c r="T32" s="68">
        <f t="shared" ref="T32" si="18">S32*Q32</f>
        <v>0</v>
      </c>
      <c r="U32" s="82">
        <v>0</v>
      </c>
      <c r="V32" s="68">
        <f t="shared" ref="V32" si="19">H32*U32</f>
        <v>0</v>
      </c>
      <c r="W32" s="73">
        <f t="shared" ref="W32" si="20">V32+T32+P32+K32</f>
        <v>0</v>
      </c>
      <c r="X32" s="75"/>
      <c r="Y32" s="76"/>
    </row>
    <row r="33" spans="1:50" ht="15.75" thickBot="1" x14ac:dyDescent="0.3">
      <c r="A33" s="158">
        <f t="shared" si="6"/>
        <v>26</v>
      </c>
      <c r="B33" s="159" t="s">
        <v>131</v>
      </c>
      <c r="C33" s="174"/>
      <c r="D33" s="160"/>
      <c r="E33" s="161"/>
      <c r="F33" s="162"/>
      <c r="G33" s="160"/>
      <c r="H33" s="161"/>
      <c r="I33" s="163"/>
      <c r="J33" s="160"/>
      <c r="K33" s="164">
        <f t="shared" ref="K33:K66" si="21">J33*H33</f>
        <v>0</v>
      </c>
      <c r="L33" s="165"/>
      <c r="M33" s="160"/>
      <c r="N33" s="166">
        <f t="shared" ref="N33:N37" si="22">ROUND(L33*M33*H33,0)</f>
        <v>0</v>
      </c>
      <c r="O33" s="167"/>
      <c r="P33" s="164">
        <f t="shared" ref="P33:P66" si="23">O33*N33</f>
        <v>0</v>
      </c>
      <c r="Q33" s="160"/>
      <c r="R33" s="166"/>
      <c r="S33" s="167"/>
      <c r="T33" s="164">
        <f t="shared" ref="T33:T66" si="24">S33*Q33</f>
        <v>0</v>
      </c>
      <c r="U33" s="168"/>
      <c r="V33" s="164">
        <f t="shared" ref="V33:V66" si="25">H33*U33</f>
        <v>0</v>
      </c>
      <c r="W33" s="169">
        <f t="shared" ref="W33:W66" si="26">V33+T33+P33+K33</f>
        <v>0</v>
      </c>
      <c r="X33" s="158"/>
      <c r="Y33" s="170">
        <f>SUM(W33:W35)</f>
        <v>0</v>
      </c>
      <c r="AD33" s="127"/>
      <c r="AE33" s="127"/>
      <c r="AF33" s="127"/>
      <c r="AG33" s="127"/>
      <c r="AH33" s="127"/>
      <c r="AI33" s="144"/>
      <c r="AJ33" s="127"/>
      <c r="AK33" s="78"/>
      <c r="AL33" s="145"/>
      <c r="AM33" s="127"/>
      <c r="AN33" s="146"/>
      <c r="AO33" s="147"/>
      <c r="AP33" s="78"/>
      <c r="AQ33" s="127"/>
      <c r="AR33" s="146"/>
      <c r="AS33" s="147"/>
      <c r="AT33" s="78"/>
      <c r="AU33" s="147"/>
      <c r="AV33" s="78"/>
      <c r="AW33" s="78"/>
    </row>
    <row r="34" spans="1:50" ht="15.75" hidden="1" thickBot="1" x14ac:dyDescent="0.3">
      <c r="A34" s="74">
        <f>A33+1</f>
        <v>27</v>
      </c>
      <c r="B34" s="74"/>
      <c r="C34" s="74"/>
      <c r="D34" s="64"/>
      <c r="E34" s="65"/>
      <c r="F34" s="66"/>
      <c r="G34" s="64"/>
      <c r="H34" s="65"/>
      <c r="I34" s="67" t="s">
        <v>132</v>
      </c>
      <c r="J34" s="64"/>
      <c r="K34" s="68">
        <f t="shared" si="21"/>
        <v>0</v>
      </c>
      <c r="L34" s="69"/>
      <c r="M34" s="64"/>
      <c r="N34" s="70">
        <f t="shared" si="22"/>
        <v>0</v>
      </c>
      <c r="O34" s="71"/>
      <c r="P34" s="68">
        <f t="shared" si="23"/>
        <v>0</v>
      </c>
      <c r="Q34" s="64"/>
      <c r="R34" s="70"/>
      <c r="S34" s="71"/>
      <c r="T34" s="68">
        <f t="shared" si="24"/>
        <v>0</v>
      </c>
      <c r="U34" s="72"/>
      <c r="V34" s="68">
        <f t="shared" si="25"/>
        <v>0</v>
      </c>
      <c r="W34" s="73">
        <f t="shared" si="26"/>
        <v>0</v>
      </c>
      <c r="X34" s="74"/>
      <c r="AC34" s="148"/>
      <c r="AD34" s="127"/>
      <c r="AE34" s="127"/>
      <c r="AF34" s="127"/>
      <c r="AG34" s="127"/>
      <c r="AH34" s="127"/>
      <c r="AI34" s="144"/>
      <c r="AJ34" s="127"/>
      <c r="AK34" s="78"/>
      <c r="AL34" s="145"/>
      <c r="AM34" s="127"/>
      <c r="AN34" s="146"/>
      <c r="AO34" s="147"/>
      <c r="AP34" s="78"/>
      <c r="AQ34" s="127"/>
      <c r="AR34" s="146"/>
      <c r="AS34" s="147"/>
      <c r="AT34" s="78"/>
      <c r="AU34" s="147"/>
      <c r="AV34" s="78"/>
      <c r="AW34" s="78"/>
    </row>
    <row r="35" spans="1:50" s="83" customFormat="1" ht="15.75" hidden="1" thickBot="1" x14ac:dyDescent="0.3">
      <c r="A35" s="74">
        <f t="shared" ref="A35:A38" si="27">A34+1</f>
        <v>28</v>
      </c>
      <c r="B35" s="74"/>
      <c r="C35" s="74"/>
      <c r="D35" s="64"/>
      <c r="E35" s="65"/>
      <c r="F35" s="66"/>
      <c r="G35" s="64"/>
      <c r="H35" s="65"/>
      <c r="I35" s="67" t="s">
        <v>80</v>
      </c>
      <c r="J35" s="64"/>
      <c r="K35" s="68">
        <f t="shared" si="21"/>
        <v>0</v>
      </c>
      <c r="L35" s="69"/>
      <c r="M35" s="64"/>
      <c r="N35" s="70">
        <f t="shared" si="22"/>
        <v>0</v>
      </c>
      <c r="O35" s="71"/>
      <c r="P35" s="68">
        <f t="shared" si="23"/>
        <v>0</v>
      </c>
      <c r="Q35" s="64"/>
      <c r="R35" s="70"/>
      <c r="S35" s="71"/>
      <c r="T35" s="68">
        <f t="shared" si="24"/>
        <v>0</v>
      </c>
      <c r="U35" s="72"/>
      <c r="V35" s="68">
        <f t="shared" si="25"/>
        <v>0</v>
      </c>
      <c r="W35" s="73">
        <f t="shared" si="26"/>
        <v>0</v>
      </c>
      <c r="X35" s="75"/>
      <c r="Y35" s="76"/>
      <c r="AA35"/>
      <c r="AC35" s="150"/>
      <c r="AD35" s="151"/>
      <c r="AE35" s="151"/>
      <c r="AF35" s="151"/>
      <c r="AG35" s="151"/>
      <c r="AH35" s="151"/>
      <c r="AI35" s="152"/>
      <c r="AJ35" s="151"/>
      <c r="AK35" s="76"/>
      <c r="AL35" s="153"/>
      <c r="AM35" s="151"/>
      <c r="AN35" s="154"/>
      <c r="AO35" s="155"/>
      <c r="AP35" s="76"/>
      <c r="AQ35" s="151"/>
      <c r="AR35" s="154"/>
      <c r="AS35" s="155"/>
      <c r="AT35" s="76"/>
      <c r="AU35" s="155"/>
      <c r="AV35" s="76"/>
      <c r="AW35" s="76"/>
      <c r="AX35" s="150"/>
    </row>
    <row r="36" spans="1:50" ht="15.75" thickBot="1" x14ac:dyDescent="0.3">
      <c r="A36" s="158">
        <f>A35+1</f>
        <v>29</v>
      </c>
      <c r="B36" s="159" t="s">
        <v>133</v>
      </c>
      <c r="C36" s="158"/>
      <c r="D36" s="160"/>
      <c r="E36" s="161"/>
      <c r="F36" s="162"/>
      <c r="G36" s="160"/>
      <c r="H36" s="161"/>
      <c r="I36" s="163"/>
      <c r="J36" s="160"/>
      <c r="K36" s="164">
        <f t="shared" si="21"/>
        <v>0</v>
      </c>
      <c r="L36" s="165"/>
      <c r="M36" s="160"/>
      <c r="N36" s="166">
        <f t="shared" si="22"/>
        <v>0</v>
      </c>
      <c r="O36" s="167"/>
      <c r="P36" s="164">
        <f t="shared" si="23"/>
        <v>0</v>
      </c>
      <c r="Q36" s="160"/>
      <c r="R36" s="166"/>
      <c r="S36" s="167"/>
      <c r="T36" s="164">
        <f t="shared" si="24"/>
        <v>0</v>
      </c>
      <c r="U36" s="168"/>
      <c r="V36" s="164">
        <f t="shared" si="25"/>
        <v>0</v>
      </c>
      <c r="W36" s="169">
        <f t="shared" si="26"/>
        <v>0</v>
      </c>
      <c r="X36" s="158"/>
      <c r="Y36" s="170">
        <f>SUM(W36:W40)</f>
        <v>247500</v>
      </c>
      <c r="AC36" s="148"/>
      <c r="AD36" s="127"/>
      <c r="AE36" s="127"/>
      <c r="AF36" s="127"/>
      <c r="AG36" s="127"/>
      <c r="AH36" s="127"/>
      <c r="AI36" s="144"/>
      <c r="AJ36" s="127"/>
      <c r="AK36" s="78"/>
      <c r="AL36" s="145"/>
      <c r="AM36" s="127"/>
      <c r="AN36" s="146"/>
      <c r="AO36" s="147"/>
      <c r="AP36" s="78"/>
      <c r="AQ36" s="127"/>
      <c r="AR36" s="146"/>
      <c r="AS36" s="147"/>
      <c r="AT36" s="78"/>
      <c r="AU36" s="147"/>
      <c r="AV36" s="78"/>
      <c r="AW36" s="78"/>
      <c r="AX36" s="149"/>
    </row>
    <row r="37" spans="1:50" ht="15.75" thickBot="1" x14ac:dyDescent="0.3">
      <c r="A37" s="74">
        <f t="shared" si="27"/>
        <v>30</v>
      </c>
      <c r="B37" s="74"/>
      <c r="C37" s="74"/>
      <c r="D37" s="64"/>
      <c r="E37" s="65"/>
      <c r="F37" s="66"/>
      <c r="G37" s="64"/>
      <c r="H37" s="65"/>
      <c r="I37" s="67"/>
      <c r="J37" s="64"/>
      <c r="K37" s="68">
        <f t="shared" si="21"/>
        <v>0</v>
      </c>
      <c r="L37" s="69"/>
      <c r="M37" s="64"/>
      <c r="N37" s="70">
        <f t="shared" si="22"/>
        <v>0</v>
      </c>
      <c r="O37" s="85"/>
      <c r="P37" s="68">
        <f t="shared" si="23"/>
        <v>0</v>
      </c>
      <c r="Q37" s="64"/>
      <c r="R37" s="70"/>
      <c r="S37" s="85"/>
      <c r="T37" s="68">
        <f t="shared" si="24"/>
        <v>0</v>
      </c>
      <c r="U37" s="82"/>
      <c r="V37" s="68">
        <f t="shared" si="25"/>
        <v>0</v>
      </c>
      <c r="W37" s="73">
        <f t="shared" si="26"/>
        <v>0</v>
      </c>
      <c r="X37" s="74"/>
      <c r="AC37" s="148"/>
      <c r="AD37" s="127"/>
      <c r="AE37" s="127"/>
      <c r="AF37" s="127"/>
      <c r="AG37" s="127"/>
      <c r="AH37" s="127"/>
      <c r="AI37" s="144"/>
      <c r="AJ37" s="127"/>
      <c r="AK37" s="78"/>
      <c r="AL37" s="145"/>
      <c r="AM37" s="127"/>
      <c r="AN37" s="146"/>
      <c r="AO37" s="147"/>
      <c r="AP37" s="78"/>
      <c r="AQ37" s="127"/>
      <c r="AR37" s="146"/>
      <c r="AS37" s="147"/>
      <c r="AT37" s="78"/>
      <c r="AU37" s="147"/>
      <c r="AV37" s="78"/>
      <c r="AW37" s="78"/>
      <c r="AX37" s="149"/>
    </row>
    <row r="38" spans="1:50" ht="15.75" thickBot="1" x14ac:dyDescent="0.3">
      <c r="A38" s="81">
        <f t="shared" si="27"/>
        <v>31</v>
      </c>
      <c r="B38" s="81"/>
      <c r="C38" s="81" t="s">
        <v>246</v>
      </c>
      <c r="D38" s="188"/>
      <c r="E38" s="189"/>
      <c r="F38" s="190"/>
      <c r="G38" s="188"/>
      <c r="H38" s="189">
        <v>45</v>
      </c>
      <c r="I38" s="191" t="s">
        <v>134</v>
      </c>
      <c r="J38" s="188"/>
      <c r="K38" s="192">
        <f t="shared" si="21"/>
        <v>0</v>
      </c>
      <c r="L38" s="193"/>
      <c r="M38" s="188"/>
      <c r="N38" s="194">
        <f t="shared" ref="N38:N66" si="28">ROUND(L38*M38*H38,0)</f>
        <v>0</v>
      </c>
      <c r="O38" s="195"/>
      <c r="P38" s="192">
        <f t="shared" si="23"/>
        <v>0</v>
      </c>
      <c r="Q38" s="188"/>
      <c r="R38" s="194"/>
      <c r="S38" s="195"/>
      <c r="T38" s="192">
        <f t="shared" si="24"/>
        <v>0</v>
      </c>
      <c r="U38" s="196">
        <v>4500</v>
      </c>
      <c r="V38" s="192">
        <f t="shared" si="25"/>
        <v>202500</v>
      </c>
      <c r="W38" s="197">
        <f>V38+T38+P38+K38</f>
        <v>202500</v>
      </c>
      <c r="X38" s="81"/>
      <c r="AC38" s="148"/>
      <c r="AD38" s="127"/>
      <c r="AE38" s="127"/>
      <c r="AF38" s="127"/>
      <c r="AG38" s="127"/>
      <c r="AH38" s="127"/>
      <c r="AI38" s="144"/>
      <c r="AJ38" s="127"/>
      <c r="AK38" s="78"/>
      <c r="AL38" s="145"/>
      <c r="AM38" s="127"/>
      <c r="AN38" s="146"/>
      <c r="AO38" s="147"/>
      <c r="AP38" s="78"/>
      <c r="AQ38" s="127"/>
      <c r="AR38" s="146"/>
      <c r="AS38" s="147"/>
      <c r="AT38" s="78"/>
      <c r="AU38" s="147"/>
      <c r="AV38" s="78"/>
      <c r="AW38" s="78"/>
      <c r="AX38" s="149"/>
    </row>
    <row r="39" spans="1:50" s="199" customFormat="1" ht="15.75" thickBot="1" x14ac:dyDescent="0.3">
      <c r="A39" s="81">
        <f t="shared" ref="A39:A118" si="29">A38+1</f>
        <v>32</v>
      </c>
      <c r="B39" s="81"/>
      <c r="C39" s="81" t="s">
        <v>247</v>
      </c>
      <c r="D39" s="188"/>
      <c r="E39" s="189"/>
      <c r="F39" s="190"/>
      <c r="G39" s="188"/>
      <c r="H39" s="189">
        <v>1</v>
      </c>
      <c r="I39" s="191" t="s">
        <v>110</v>
      </c>
      <c r="J39" s="188"/>
      <c r="K39" s="192">
        <f t="shared" si="21"/>
        <v>0</v>
      </c>
      <c r="L39" s="193"/>
      <c r="M39" s="188"/>
      <c r="N39" s="194">
        <f t="shared" si="28"/>
        <v>0</v>
      </c>
      <c r="O39" s="195"/>
      <c r="P39" s="192">
        <f t="shared" si="23"/>
        <v>0</v>
      </c>
      <c r="Q39" s="188"/>
      <c r="R39" s="194"/>
      <c r="S39" s="195"/>
      <c r="T39" s="192">
        <f t="shared" si="24"/>
        <v>0</v>
      </c>
      <c r="U39" s="196">
        <v>25000</v>
      </c>
      <c r="V39" s="192">
        <f t="shared" si="25"/>
        <v>25000</v>
      </c>
      <c r="W39" s="197">
        <f t="shared" si="26"/>
        <v>25000</v>
      </c>
      <c r="X39" s="81" t="s">
        <v>234</v>
      </c>
      <c r="AC39" s="205"/>
      <c r="AD39" s="118"/>
      <c r="AE39" s="118"/>
      <c r="AF39" s="118"/>
      <c r="AG39" s="118"/>
      <c r="AH39" s="118"/>
      <c r="AI39" s="206"/>
      <c r="AJ39" s="118"/>
      <c r="AK39" s="207"/>
      <c r="AL39" s="208"/>
      <c r="AM39" s="118"/>
      <c r="AN39" s="209"/>
      <c r="AO39" s="210"/>
      <c r="AP39" s="207"/>
      <c r="AQ39" s="118"/>
      <c r="AR39" s="209"/>
      <c r="AS39" s="210"/>
      <c r="AT39" s="207"/>
      <c r="AU39" s="210"/>
      <c r="AV39" s="207"/>
      <c r="AW39" s="207"/>
    </row>
    <row r="40" spans="1:50" ht="15.75" thickBot="1" x14ac:dyDescent="0.3">
      <c r="A40" s="81">
        <f t="shared" si="29"/>
        <v>33</v>
      </c>
      <c r="B40" s="81"/>
      <c r="C40" s="81" t="s">
        <v>204</v>
      </c>
      <c r="D40" s="188"/>
      <c r="E40" s="189"/>
      <c r="F40" s="190"/>
      <c r="G40" s="188"/>
      <c r="H40" s="189">
        <v>1</v>
      </c>
      <c r="I40" s="191" t="s">
        <v>110</v>
      </c>
      <c r="J40" s="188"/>
      <c r="K40" s="192">
        <f>J40*H40</f>
        <v>0</v>
      </c>
      <c r="L40" s="193"/>
      <c r="M40" s="188"/>
      <c r="N40" s="194">
        <f>ROUND(L40*M40*H40,0)</f>
        <v>0</v>
      </c>
      <c r="O40" s="195"/>
      <c r="P40" s="192">
        <f>O40*N40</f>
        <v>0</v>
      </c>
      <c r="Q40" s="188"/>
      <c r="R40" s="194"/>
      <c r="S40" s="195"/>
      <c r="T40" s="192">
        <f>S40*Q40</f>
        <v>0</v>
      </c>
      <c r="U40" s="196">
        <v>20000</v>
      </c>
      <c r="V40" s="192">
        <f>H40*U40</f>
        <v>20000</v>
      </c>
      <c r="W40" s="197">
        <f>V40+T40+P40+K40</f>
        <v>20000</v>
      </c>
      <c r="X40" s="81"/>
      <c r="AC40" s="148"/>
      <c r="AD40" s="127"/>
      <c r="AE40" s="127"/>
      <c r="AF40" s="127"/>
      <c r="AG40" s="127"/>
      <c r="AH40" s="127"/>
      <c r="AI40" s="144"/>
      <c r="AJ40" s="127"/>
      <c r="AK40" s="78"/>
      <c r="AL40" s="145"/>
      <c r="AM40" s="127"/>
      <c r="AN40" s="146"/>
      <c r="AO40" s="147"/>
      <c r="AP40" s="78"/>
      <c r="AQ40" s="127"/>
      <c r="AR40" s="146"/>
      <c r="AS40" s="147"/>
      <c r="AT40" s="78"/>
      <c r="AU40" s="147"/>
      <c r="AV40" s="78"/>
      <c r="AW40" s="78"/>
      <c r="AX40" s="149"/>
    </row>
    <row r="41" spans="1:50" ht="15.75" thickBot="1" x14ac:dyDescent="0.3">
      <c r="A41" s="158">
        <f>A40+1</f>
        <v>34</v>
      </c>
      <c r="B41" s="159" t="s">
        <v>135</v>
      </c>
      <c r="C41" s="158"/>
      <c r="D41" s="160"/>
      <c r="E41" s="161"/>
      <c r="F41" s="162"/>
      <c r="G41" s="160"/>
      <c r="H41" s="161"/>
      <c r="I41" s="163"/>
      <c r="J41" s="160"/>
      <c r="K41" s="164">
        <f>J41*H41</f>
        <v>0</v>
      </c>
      <c r="L41" s="165"/>
      <c r="M41" s="160"/>
      <c r="N41" s="166">
        <f>ROUND(L41*M41*H41,0)</f>
        <v>0</v>
      </c>
      <c r="O41" s="167"/>
      <c r="P41" s="164">
        <f t="shared" ref="P41:P44" si="30">O41*N41</f>
        <v>0</v>
      </c>
      <c r="Q41" s="160"/>
      <c r="R41" s="166"/>
      <c r="S41" s="167"/>
      <c r="T41" s="164">
        <f t="shared" ref="T41:T44" si="31">S41*Q41</f>
        <v>0</v>
      </c>
      <c r="U41" s="168"/>
      <c r="V41" s="164">
        <f>H41*U41</f>
        <v>0</v>
      </c>
      <c r="W41" s="169">
        <f t="shared" ref="W41:W44" si="32">V41+T41+P41+K41</f>
        <v>0</v>
      </c>
      <c r="X41" s="158"/>
      <c r="Y41" s="170">
        <f>SUM(W41:W48)</f>
        <v>0</v>
      </c>
      <c r="AC41" s="148"/>
      <c r="AD41" s="127"/>
      <c r="AE41" s="127"/>
      <c r="AF41" s="127"/>
      <c r="AG41" s="127"/>
      <c r="AH41" s="127"/>
      <c r="AI41" s="144"/>
      <c r="AJ41" s="127"/>
      <c r="AK41" s="78"/>
      <c r="AL41" s="145"/>
      <c r="AM41" s="127"/>
      <c r="AN41" s="146"/>
      <c r="AO41" s="147"/>
      <c r="AP41" s="78"/>
      <c r="AQ41" s="127"/>
      <c r="AR41" s="146"/>
      <c r="AS41" s="147"/>
      <c r="AT41" s="78"/>
      <c r="AU41" s="147"/>
      <c r="AV41" s="78"/>
      <c r="AW41" s="78"/>
      <c r="AX41" s="149"/>
    </row>
    <row r="42" spans="1:50" ht="15.75" hidden="1" thickBot="1" x14ac:dyDescent="0.3">
      <c r="A42" s="74">
        <f>A41+1</f>
        <v>35</v>
      </c>
      <c r="B42" s="74"/>
      <c r="C42" s="74" t="s">
        <v>136</v>
      </c>
      <c r="D42" s="64"/>
      <c r="E42" s="65"/>
      <c r="F42" s="66"/>
      <c r="G42" s="64"/>
      <c r="H42" s="65">
        <v>0</v>
      </c>
      <c r="I42" s="67" t="s">
        <v>110</v>
      </c>
      <c r="J42" s="64"/>
      <c r="K42" s="68">
        <f t="shared" ref="K42:K44" si="33">J42*H42</f>
        <v>0</v>
      </c>
      <c r="L42" s="69"/>
      <c r="M42" s="64"/>
      <c r="N42" s="70">
        <f t="shared" ref="N42:N44" si="34">ROUND(L42*M42*H42,0)</f>
        <v>0</v>
      </c>
      <c r="O42" s="71"/>
      <c r="P42" s="68">
        <f t="shared" si="30"/>
        <v>0</v>
      </c>
      <c r="Q42" s="64"/>
      <c r="R42" s="70"/>
      <c r="S42" s="71"/>
      <c r="T42" s="68">
        <f t="shared" si="31"/>
        <v>0</v>
      </c>
      <c r="U42" s="72">
        <v>0</v>
      </c>
      <c r="V42" s="68">
        <f t="shared" ref="V42:V44" si="35">H42*U42</f>
        <v>0</v>
      </c>
      <c r="W42" s="73">
        <f t="shared" si="26"/>
        <v>0</v>
      </c>
      <c r="X42" s="74"/>
      <c r="AC42" s="148"/>
      <c r="AD42" s="127"/>
      <c r="AE42" s="127"/>
      <c r="AF42" s="127"/>
      <c r="AG42" s="127"/>
      <c r="AH42" s="127"/>
      <c r="AI42" s="144"/>
      <c r="AJ42" s="127"/>
      <c r="AK42" s="78"/>
      <c r="AL42" s="145"/>
      <c r="AM42" s="127"/>
      <c r="AN42" s="146"/>
      <c r="AO42" s="147"/>
      <c r="AP42" s="78"/>
      <c r="AQ42" s="127"/>
      <c r="AR42" s="146"/>
      <c r="AS42" s="147"/>
      <c r="AT42" s="78"/>
      <c r="AU42" s="147"/>
      <c r="AV42" s="78"/>
      <c r="AW42" s="78"/>
      <c r="AX42" s="149"/>
    </row>
    <row r="43" spans="1:50" ht="15.75" hidden="1" thickBot="1" x14ac:dyDescent="0.3">
      <c r="A43" s="74">
        <f t="shared" si="29"/>
        <v>36</v>
      </c>
      <c r="B43" s="74"/>
      <c r="C43" s="74" t="s">
        <v>137</v>
      </c>
      <c r="D43" s="64"/>
      <c r="E43" s="65"/>
      <c r="F43" s="66"/>
      <c r="G43" s="64"/>
      <c r="H43" s="65">
        <v>0</v>
      </c>
      <c r="I43" s="67" t="s">
        <v>110</v>
      </c>
      <c r="J43" s="64"/>
      <c r="K43" s="68">
        <f t="shared" si="33"/>
        <v>0</v>
      </c>
      <c r="L43" s="69"/>
      <c r="M43" s="64"/>
      <c r="N43" s="70">
        <f t="shared" si="34"/>
        <v>0</v>
      </c>
      <c r="O43" s="71"/>
      <c r="P43" s="68">
        <f t="shared" si="30"/>
        <v>0</v>
      </c>
      <c r="Q43" s="64"/>
      <c r="R43" s="70"/>
      <c r="S43" s="71"/>
      <c r="T43" s="68">
        <f t="shared" si="31"/>
        <v>0</v>
      </c>
      <c r="U43" s="72">
        <v>0</v>
      </c>
      <c r="V43" s="68">
        <f t="shared" si="35"/>
        <v>0</v>
      </c>
      <c r="W43" s="73">
        <f t="shared" si="26"/>
        <v>0</v>
      </c>
      <c r="X43" s="74"/>
      <c r="AC43" s="148"/>
      <c r="AD43" s="127"/>
      <c r="AE43" s="127"/>
      <c r="AF43" s="127"/>
      <c r="AG43" s="127"/>
      <c r="AH43" s="127"/>
      <c r="AI43" s="144"/>
      <c r="AJ43" s="127"/>
      <c r="AK43" s="78"/>
      <c r="AL43" s="145"/>
      <c r="AM43" s="127"/>
      <c r="AN43" s="146"/>
      <c r="AO43" s="147"/>
      <c r="AP43" s="78"/>
      <c r="AQ43" s="127"/>
      <c r="AR43" s="146"/>
      <c r="AS43" s="147"/>
      <c r="AT43" s="78"/>
      <c r="AU43" s="147"/>
      <c r="AV43" s="78"/>
      <c r="AW43" s="78"/>
      <c r="AX43" s="149"/>
    </row>
    <row r="44" spans="1:50" ht="15.75" hidden="1" thickBot="1" x14ac:dyDescent="0.3">
      <c r="A44" s="74">
        <f t="shared" si="29"/>
        <v>37</v>
      </c>
      <c r="B44" s="74"/>
      <c r="C44" s="74" t="s">
        <v>138</v>
      </c>
      <c r="D44" s="64"/>
      <c r="E44" s="65"/>
      <c r="F44" s="66"/>
      <c r="G44" s="64"/>
      <c r="H44" s="65">
        <v>0</v>
      </c>
      <c r="I44" s="67" t="s">
        <v>110</v>
      </c>
      <c r="J44" s="64"/>
      <c r="K44" s="68">
        <f t="shared" si="33"/>
        <v>0</v>
      </c>
      <c r="L44" s="69"/>
      <c r="M44" s="64"/>
      <c r="N44" s="70">
        <f t="shared" si="34"/>
        <v>0</v>
      </c>
      <c r="O44" s="71"/>
      <c r="P44" s="68">
        <f t="shared" si="30"/>
        <v>0</v>
      </c>
      <c r="Q44" s="64"/>
      <c r="R44" s="70"/>
      <c r="S44" s="71"/>
      <c r="T44" s="68">
        <f t="shared" si="31"/>
        <v>0</v>
      </c>
      <c r="U44" s="72">
        <v>0</v>
      </c>
      <c r="V44" s="68">
        <f t="shared" si="35"/>
        <v>0</v>
      </c>
      <c r="W44" s="73">
        <f t="shared" si="32"/>
        <v>0</v>
      </c>
      <c r="X44" s="74"/>
      <c r="AC44" s="148"/>
      <c r="AD44" s="127"/>
      <c r="AE44" s="127"/>
      <c r="AF44" s="127"/>
      <c r="AG44" s="127"/>
      <c r="AH44" s="127"/>
      <c r="AI44" s="144"/>
      <c r="AJ44" s="127"/>
      <c r="AK44" s="78"/>
      <c r="AL44" s="145"/>
      <c r="AM44" s="127"/>
      <c r="AN44" s="146"/>
      <c r="AO44" s="147"/>
      <c r="AP44" s="78"/>
      <c r="AQ44" s="127"/>
      <c r="AR44" s="146"/>
      <c r="AS44" s="147"/>
      <c r="AT44" s="78"/>
      <c r="AU44" s="147"/>
      <c r="AV44" s="78"/>
      <c r="AW44" s="78"/>
      <c r="AX44" s="149"/>
    </row>
    <row r="45" spans="1:50" s="83" customFormat="1" ht="15.75" hidden="1" thickBot="1" x14ac:dyDescent="0.3">
      <c r="A45" s="74">
        <f t="shared" si="29"/>
        <v>38</v>
      </c>
      <c r="B45" s="74"/>
      <c r="C45" s="74" t="s">
        <v>139</v>
      </c>
      <c r="D45" s="64"/>
      <c r="E45" s="65"/>
      <c r="F45" s="65"/>
      <c r="G45" s="64"/>
      <c r="H45" s="65">
        <v>0</v>
      </c>
      <c r="I45" s="67" t="s">
        <v>110</v>
      </c>
      <c r="J45" s="64">
        <v>0</v>
      </c>
      <c r="K45" s="68">
        <f t="shared" si="21"/>
        <v>0</v>
      </c>
      <c r="L45" s="69"/>
      <c r="M45" s="64"/>
      <c r="N45" s="70">
        <f t="shared" si="28"/>
        <v>0</v>
      </c>
      <c r="O45" s="71"/>
      <c r="P45" s="68">
        <f t="shared" si="23"/>
        <v>0</v>
      </c>
      <c r="Q45" s="64"/>
      <c r="R45" s="70"/>
      <c r="S45" s="71"/>
      <c r="T45" s="68">
        <f t="shared" si="24"/>
        <v>0</v>
      </c>
      <c r="U45" s="72">
        <v>0</v>
      </c>
      <c r="V45" s="68">
        <f t="shared" si="25"/>
        <v>0</v>
      </c>
      <c r="W45" s="73">
        <f t="shared" si="26"/>
        <v>0</v>
      </c>
      <c r="X45" s="74"/>
      <c r="Y45" s="76"/>
      <c r="AA45"/>
      <c r="AC45" s="150"/>
      <c r="AD45" s="151"/>
      <c r="AE45" s="151"/>
      <c r="AF45" s="151"/>
      <c r="AG45" s="151"/>
      <c r="AH45" s="151"/>
      <c r="AI45" s="152"/>
      <c r="AJ45" s="151"/>
      <c r="AK45" s="76"/>
      <c r="AL45" s="153"/>
      <c r="AM45" s="151"/>
      <c r="AN45" s="154"/>
      <c r="AO45" s="155"/>
      <c r="AP45" s="76"/>
      <c r="AQ45" s="151"/>
      <c r="AR45" s="154"/>
      <c r="AS45" s="155"/>
      <c r="AT45" s="76"/>
      <c r="AU45" s="155"/>
      <c r="AV45" s="76"/>
      <c r="AW45" s="76"/>
      <c r="AX45" s="150"/>
    </row>
    <row r="46" spans="1:50" ht="15.75" hidden="1" thickBot="1" x14ac:dyDescent="0.3">
      <c r="A46" s="74">
        <f t="shared" si="29"/>
        <v>39</v>
      </c>
      <c r="B46" s="74"/>
      <c r="C46" s="74" t="s">
        <v>140</v>
      </c>
      <c r="D46" s="64"/>
      <c r="E46" s="65"/>
      <c r="F46" s="66"/>
      <c r="G46" s="64"/>
      <c r="H46" s="65">
        <v>0</v>
      </c>
      <c r="I46" s="67" t="s">
        <v>110</v>
      </c>
      <c r="J46" s="64"/>
      <c r="K46" s="68">
        <f t="shared" si="21"/>
        <v>0</v>
      </c>
      <c r="L46" s="69"/>
      <c r="M46" s="64"/>
      <c r="N46" s="70">
        <f t="shared" si="28"/>
        <v>0</v>
      </c>
      <c r="O46" s="71"/>
      <c r="P46" s="68">
        <f t="shared" si="23"/>
        <v>0</v>
      </c>
      <c r="Q46" s="64"/>
      <c r="R46" s="70"/>
      <c r="S46" s="71"/>
      <c r="T46" s="68">
        <f t="shared" si="24"/>
        <v>0</v>
      </c>
      <c r="U46" s="72">
        <v>0</v>
      </c>
      <c r="V46" s="68">
        <f t="shared" si="25"/>
        <v>0</v>
      </c>
      <c r="W46" s="73">
        <f t="shared" si="26"/>
        <v>0</v>
      </c>
      <c r="X46" s="74"/>
      <c r="AC46" s="143"/>
      <c r="AD46" s="127"/>
      <c r="AE46" s="127"/>
      <c r="AF46" s="127"/>
      <c r="AG46" s="127"/>
      <c r="AH46" s="127"/>
      <c r="AI46" s="144"/>
      <c r="AJ46" s="127"/>
      <c r="AK46" s="78"/>
      <c r="AL46" s="145"/>
      <c r="AM46" s="127"/>
      <c r="AN46" s="146"/>
      <c r="AO46" s="147"/>
      <c r="AP46" s="78"/>
      <c r="AQ46" s="127"/>
      <c r="AR46" s="146"/>
      <c r="AS46" s="147"/>
      <c r="AT46" s="78"/>
      <c r="AU46" s="147"/>
      <c r="AV46" s="78"/>
      <c r="AW46" s="78"/>
    </row>
    <row r="47" spans="1:50" ht="15.75" hidden="1" thickBot="1" x14ac:dyDescent="0.3">
      <c r="A47" s="74">
        <f t="shared" si="29"/>
        <v>40</v>
      </c>
      <c r="B47" s="74"/>
      <c r="C47" s="74" t="s">
        <v>141</v>
      </c>
      <c r="D47" s="64"/>
      <c r="E47" s="65"/>
      <c r="F47" s="66"/>
      <c r="G47" s="64"/>
      <c r="H47" s="65">
        <v>0</v>
      </c>
      <c r="I47" s="67" t="s">
        <v>110</v>
      </c>
      <c r="J47" s="64"/>
      <c r="K47" s="68">
        <f t="shared" ref="K47" si="36">J47*H47</f>
        <v>0</v>
      </c>
      <c r="L47" s="69"/>
      <c r="M47" s="64"/>
      <c r="N47" s="70">
        <f t="shared" ref="N47" si="37">ROUND(L47*M47*H47,0)</f>
        <v>0</v>
      </c>
      <c r="O47" s="71"/>
      <c r="P47" s="68">
        <f t="shared" ref="P47" si="38">O47*N47</f>
        <v>0</v>
      </c>
      <c r="Q47" s="64"/>
      <c r="R47" s="70"/>
      <c r="S47" s="71"/>
      <c r="T47" s="68">
        <f t="shared" ref="T47" si="39">S47*Q47</f>
        <v>0</v>
      </c>
      <c r="U47" s="72">
        <v>0</v>
      </c>
      <c r="V47" s="68">
        <f t="shared" ref="V47" si="40">H47*U47</f>
        <v>0</v>
      </c>
      <c r="W47" s="73">
        <f t="shared" ref="W47" si="41">V47+T47+P47+K47</f>
        <v>0</v>
      </c>
      <c r="X47" s="74"/>
      <c r="AC47" s="148"/>
      <c r="AD47" s="127"/>
      <c r="AE47" s="127"/>
      <c r="AF47" s="127"/>
      <c r="AG47" s="127"/>
      <c r="AH47" s="127"/>
      <c r="AI47" s="144"/>
      <c r="AJ47" s="127"/>
      <c r="AK47" s="78"/>
      <c r="AL47" s="145"/>
      <c r="AM47" s="127"/>
      <c r="AN47" s="146"/>
      <c r="AO47" s="147"/>
      <c r="AP47" s="78"/>
      <c r="AQ47" s="127"/>
      <c r="AR47" s="146"/>
      <c r="AS47" s="147"/>
      <c r="AT47" s="78"/>
      <c r="AU47" s="147"/>
      <c r="AV47" s="78"/>
      <c r="AW47" s="78"/>
    </row>
    <row r="48" spans="1:50" ht="15.75" hidden="1" thickBot="1" x14ac:dyDescent="0.3">
      <c r="A48" s="74">
        <f t="shared" si="29"/>
        <v>41</v>
      </c>
      <c r="B48" s="74"/>
      <c r="C48" s="74" t="s">
        <v>142</v>
      </c>
      <c r="D48" s="64"/>
      <c r="E48" s="65"/>
      <c r="F48" s="66"/>
      <c r="G48" s="64"/>
      <c r="H48" s="65">
        <v>0</v>
      </c>
      <c r="I48" s="67" t="s">
        <v>143</v>
      </c>
      <c r="J48" s="64">
        <v>0</v>
      </c>
      <c r="K48" s="68">
        <f t="shared" ref="K48" si="42">J48*H48</f>
        <v>0</v>
      </c>
      <c r="L48" s="69"/>
      <c r="M48" s="64"/>
      <c r="N48" s="70">
        <f t="shared" ref="N48" si="43">ROUND(L48*M48*H48,0)</f>
        <v>0</v>
      </c>
      <c r="O48" s="71"/>
      <c r="P48" s="68">
        <f t="shared" ref="P48" si="44">O48*N48</f>
        <v>0</v>
      </c>
      <c r="Q48" s="64"/>
      <c r="R48" s="70"/>
      <c r="S48" s="71"/>
      <c r="T48" s="68">
        <f t="shared" ref="T48" si="45">S48*Q48</f>
        <v>0</v>
      </c>
      <c r="U48" s="72">
        <v>0</v>
      </c>
      <c r="V48" s="68">
        <f>H48*U48</f>
        <v>0</v>
      </c>
      <c r="W48" s="73">
        <f t="shared" ref="W48" si="46">V48+T48+P48+K48</f>
        <v>0</v>
      </c>
      <c r="X48" s="74"/>
      <c r="AC48" s="148"/>
      <c r="AD48" s="127"/>
      <c r="AE48" s="127"/>
      <c r="AF48" s="127"/>
      <c r="AG48" s="127"/>
      <c r="AH48" s="127"/>
      <c r="AI48" s="144"/>
      <c r="AJ48" s="127"/>
      <c r="AK48" s="78"/>
      <c r="AL48" s="145"/>
      <c r="AM48" s="127"/>
      <c r="AN48" s="146"/>
      <c r="AO48" s="147"/>
      <c r="AP48" s="78"/>
      <c r="AQ48" s="127"/>
      <c r="AR48" s="146"/>
      <c r="AS48" s="147"/>
      <c r="AT48" s="78"/>
      <c r="AU48" s="147"/>
      <c r="AV48" s="78"/>
      <c r="AW48" s="78"/>
    </row>
    <row r="49" spans="1:50" ht="15.75" thickBot="1" x14ac:dyDescent="0.3">
      <c r="A49" s="158">
        <f t="shared" si="29"/>
        <v>42</v>
      </c>
      <c r="B49" s="159" t="s">
        <v>144</v>
      </c>
      <c r="C49" s="158"/>
      <c r="D49" s="160"/>
      <c r="E49" s="161"/>
      <c r="F49" s="162"/>
      <c r="G49" s="160"/>
      <c r="H49" s="161"/>
      <c r="I49" s="163"/>
      <c r="J49" s="160"/>
      <c r="K49" s="164">
        <f t="shared" si="21"/>
        <v>0</v>
      </c>
      <c r="L49" s="165"/>
      <c r="M49" s="160"/>
      <c r="N49" s="166">
        <f t="shared" si="28"/>
        <v>0</v>
      </c>
      <c r="O49" s="167"/>
      <c r="P49" s="164">
        <f t="shared" si="23"/>
        <v>0</v>
      </c>
      <c r="Q49" s="160"/>
      <c r="R49" s="166"/>
      <c r="S49" s="167"/>
      <c r="T49" s="164">
        <f t="shared" si="24"/>
        <v>0</v>
      </c>
      <c r="U49" s="168"/>
      <c r="V49" s="164">
        <f t="shared" si="25"/>
        <v>0</v>
      </c>
      <c r="W49" s="169">
        <f t="shared" si="26"/>
        <v>0</v>
      </c>
      <c r="X49" s="158"/>
      <c r="Y49" s="170">
        <f>SUM(W49:W59)</f>
        <v>72000</v>
      </c>
      <c r="AC49" s="148"/>
      <c r="AD49" s="127"/>
      <c r="AE49" s="127"/>
      <c r="AF49" s="127"/>
      <c r="AG49" s="127"/>
      <c r="AH49" s="127"/>
      <c r="AI49" s="144"/>
      <c r="AJ49" s="127"/>
      <c r="AK49" s="78"/>
      <c r="AL49" s="145"/>
      <c r="AM49" s="127"/>
      <c r="AN49" s="146"/>
      <c r="AO49" s="147"/>
      <c r="AP49" s="78"/>
      <c r="AQ49" s="127"/>
      <c r="AR49" s="146"/>
      <c r="AS49" s="147"/>
      <c r="AT49" s="78"/>
      <c r="AU49" s="147"/>
      <c r="AV49" s="78"/>
      <c r="AW49" s="78"/>
      <c r="AX49" s="149"/>
    </row>
    <row r="50" spans="1:50" ht="15.75" thickBot="1" x14ac:dyDescent="0.3">
      <c r="A50" s="74">
        <f t="shared" si="29"/>
        <v>43</v>
      </c>
      <c r="B50" s="74"/>
      <c r="C50" s="74"/>
      <c r="D50" s="64"/>
      <c r="E50" s="65"/>
      <c r="F50" s="66"/>
      <c r="G50" s="64"/>
      <c r="H50" s="65"/>
      <c r="I50" s="67" t="s">
        <v>132</v>
      </c>
      <c r="J50" s="64"/>
      <c r="K50" s="68">
        <f t="shared" si="21"/>
        <v>0</v>
      </c>
      <c r="L50" s="69"/>
      <c r="M50" s="64"/>
      <c r="N50" s="70">
        <f t="shared" si="28"/>
        <v>0</v>
      </c>
      <c r="O50" s="71"/>
      <c r="P50" s="68">
        <f t="shared" si="23"/>
        <v>0</v>
      </c>
      <c r="Q50" s="64"/>
      <c r="R50" s="70"/>
      <c r="S50" s="71"/>
      <c r="T50" s="68">
        <f t="shared" si="24"/>
        <v>0</v>
      </c>
      <c r="U50" s="72">
        <v>0</v>
      </c>
      <c r="V50" s="68">
        <f t="shared" si="25"/>
        <v>0</v>
      </c>
      <c r="W50" s="73">
        <f t="shared" si="26"/>
        <v>0</v>
      </c>
      <c r="X50" s="74"/>
      <c r="AC50" s="148"/>
      <c r="AD50" s="127"/>
      <c r="AE50" s="127"/>
      <c r="AF50" s="127"/>
      <c r="AG50" s="127"/>
      <c r="AH50" s="127"/>
      <c r="AI50" s="144"/>
      <c r="AJ50" s="127"/>
      <c r="AK50" s="78"/>
      <c r="AL50" s="145"/>
      <c r="AM50" s="127"/>
      <c r="AN50" s="146"/>
      <c r="AO50" s="147"/>
      <c r="AP50" s="78"/>
      <c r="AQ50" s="127"/>
      <c r="AR50" s="146"/>
      <c r="AS50" s="147"/>
      <c r="AT50" s="78"/>
      <c r="AU50" s="147"/>
      <c r="AV50" s="78"/>
      <c r="AW50" s="78"/>
    </row>
    <row r="51" spans="1:50" s="199" customFormat="1" ht="15.75" thickBot="1" x14ac:dyDescent="0.3">
      <c r="A51" s="81">
        <f t="shared" si="29"/>
        <v>44</v>
      </c>
      <c r="B51" s="81"/>
      <c r="C51" s="81" t="s">
        <v>222</v>
      </c>
      <c r="D51" s="188"/>
      <c r="E51" s="189"/>
      <c r="F51" s="190"/>
      <c r="G51" s="188"/>
      <c r="H51" s="189">
        <v>12</v>
      </c>
      <c r="I51" s="191" t="s">
        <v>134</v>
      </c>
      <c r="J51" s="188"/>
      <c r="K51" s="192">
        <f t="shared" ref="K51" si="47">J51*H51</f>
        <v>0</v>
      </c>
      <c r="L51" s="193"/>
      <c r="M51" s="188"/>
      <c r="N51" s="194">
        <f t="shared" ref="N51" si="48">ROUND(L51*M51*H51,0)</f>
        <v>0</v>
      </c>
      <c r="O51" s="195"/>
      <c r="P51" s="192">
        <f t="shared" ref="P51" si="49">O51*N51</f>
        <v>0</v>
      </c>
      <c r="Q51" s="188"/>
      <c r="R51" s="194"/>
      <c r="S51" s="195"/>
      <c r="T51" s="192">
        <f t="shared" ref="T51" si="50">S51*Q51</f>
        <v>0</v>
      </c>
      <c r="U51" s="196">
        <v>6000</v>
      </c>
      <c r="V51" s="192">
        <f t="shared" ref="V51" si="51">H51*U51</f>
        <v>72000</v>
      </c>
      <c r="W51" s="197">
        <f t="shared" ref="W51" si="52">V51+T51+P51+K51</f>
        <v>72000</v>
      </c>
      <c r="X51" s="81" t="s">
        <v>124</v>
      </c>
      <c r="AC51" s="205"/>
      <c r="AD51" s="118"/>
      <c r="AE51" s="118"/>
      <c r="AF51" s="118"/>
      <c r="AG51" s="118"/>
      <c r="AH51" s="118"/>
      <c r="AI51" s="206"/>
      <c r="AJ51" s="118"/>
      <c r="AK51" s="207"/>
      <c r="AL51" s="208"/>
      <c r="AM51" s="118"/>
      <c r="AN51" s="209"/>
      <c r="AO51" s="210"/>
      <c r="AP51" s="207"/>
      <c r="AQ51" s="118"/>
      <c r="AR51" s="209"/>
      <c r="AS51" s="210"/>
      <c r="AT51" s="207"/>
      <c r="AU51" s="210"/>
      <c r="AV51" s="207"/>
      <c r="AW51" s="207"/>
    </row>
    <row r="52" spans="1:50" ht="15.75" thickBot="1" x14ac:dyDescent="0.3">
      <c r="A52" s="74">
        <f t="shared" si="29"/>
        <v>45</v>
      </c>
      <c r="B52" s="74"/>
      <c r="C52" s="74"/>
      <c r="D52" s="64"/>
      <c r="E52" s="65"/>
      <c r="F52" s="66"/>
      <c r="G52" s="64"/>
      <c r="H52" s="65"/>
      <c r="I52" s="67"/>
      <c r="J52" s="64"/>
      <c r="K52" s="68"/>
      <c r="L52" s="69"/>
      <c r="M52" s="64"/>
      <c r="N52" s="70"/>
      <c r="O52" s="71"/>
      <c r="P52" s="68">
        <f t="shared" ref="P52" si="53">O52*N52</f>
        <v>0</v>
      </c>
      <c r="Q52" s="64"/>
      <c r="R52" s="70"/>
      <c r="S52" s="71"/>
      <c r="T52" s="68">
        <f t="shared" ref="T52" si="54">S52*Q52</f>
        <v>0</v>
      </c>
      <c r="U52" s="72">
        <v>0</v>
      </c>
      <c r="V52" s="68">
        <f t="shared" ref="V52" si="55">H52*U52</f>
        <v>0</v>
      </c>
      <c r="W52" s="73">
        <f t="shared" ref="W52" si="56">V52+T52+P52+K52</f>
        <v>0</v>
      </c>
      <c r="X52" s="74"/>
      <c r="AC52" s="148"/>
      <c r="AD52" s="127"/>
      <c r="AE52" s="127"/>
      <c r="AF52" s="127"/>
      <c r="AG52" s="127"/>
      <c r="AH52" s="127"/>
      <c r="AI52" s="144"/>
      <c r="AJ52" s="127"/>
      <c r="AK52" s="78"/>
      <c r="AL52" s="145"/>
      <c r="AM52" s="127"/>
      <c r="AN52" s="146"/>
      <c r="AO52" s="147"/>
      <c r="AP52" s="78"/>
      <c r="AQ52" s="127"/>
      <c r="AR52" s="146"/>
      <c r="AS52" s="147"/>
      <c r="AT52" s="78"/>
      <c r="AU52" s="147"/>
      <c r="AV52" s="78"/>
      <c r="AW52" s="78"/>
    </row>
    <row r="53" spans="1:50" ht="15.75" thickBot="1" x14ac:dyDescent="0.3">
      <c r="A53" s="74">
        <f t="shared" si="29"/>
        <v>46</v>
      </c>
      <c r="B53" s="74"/>
      <c r="C53" s="74" t="s">
        <v>245</v>
      </c>
      <c r="D53" s="64"/>
      <c r="E53" s="65"/>
      <c r="F53" s="66"/>
      <c r="G53" s="64"/>
      <c r="H53" s="65">
        <v>0</v>
      </c>
      <c r="I53" s="67" t="s">
        <v>134</v>
      </c>
      <c r="J53" s="64"/>
      <c r="K53" s="68"/>
      <c r="L53" s="69"/>
      <c r="M53" s="64"/>
      <c r="N53" s="70"/>
      <c r="O53" s="71"/>
      <c r="P53" s="68">
        <f t="shared" si="23"/>
        <v>0</v>
      </c>
      <c r="Q53" s="64"/>
      <c r="R53" s="70"/>
      <c r="S53" s="71"/>
      <c r="T53" s="68">
        <f t="shared" si="24"/>
        <v>0</v>
      </c>
      <c r="U53" s="72">
        <v>1792</v>
      </c>
      <c r="V53" s="68">
        <f t="shared" si="25"/>
        <v>0</v>
      </c>
      <c r="W53" s="73">
        <f t="shared" si="26"/>
        <v>0</v>
      </c>
      <c r="X53" s="74" t="s">
        <v>244</v>
      </c>
      <c r="AC53" s="148"/>
      <c r="AD53" s="127"/>
      <c r="AE53" s="127"/>
      <c r="AF53" s="127"/>
      <c r="AG53" s="127"/>
      <c r="AH53" s="127"/>
      <c r="AI53" s="144"/>
      <c r="AJ53" s="127"/>
      <c r="AK53" s="78"/>
      <c r="AL53" s="145"/>
      <c r="AM53" s="127"/>
      <c r="AN53" s="146"/>
      <c r="AO53" s="147"/>
      <c r="AP53" s="78"/>
      <c r="AQ53" s="127"/>
      <c r="AR53" s="146"/>
      <c r="AS53" s="147"/>
      <c r="AT53" s="78"/>
      <c r="AU53" s="147"/>
      <c r="AV53" s="78"/>
      <c r="AW53" s="78"/>
      <c r="AX53" s="149"/>
    </row>
    <row r="54" spans="1:50" ht="15.75" thickBot="1" x14ac:dyDescent="0.3">
      <c r="A54" s="74">
        <f t="shared" si="29"/>
        <v>47</v>
      </c>
      <c r="B54" s="74"/>
      <c r="C54" s="74"/>
      <c r="D54" s="64"/>
      <c r="E54" s="65"/>
      <c r="F54" s="66"/>
      <c r="G54" s="64"/>
      <c r="H54" s="65"/>
      <c r="I54" s="67"/>
      <c r="J54" s="64"/>
      <c r="K54" s="68"/>
      <c r="L54" s="69"/>
      <c r="M54" s="64"/>
      <c r="N54" s="70"/>
      <c r="O54" s="71"/>
      <c r="P54" s="68">
        <f t="shared" si="23"/>
        <v>0</v>
      </c>
      <c r="Q54" s="64"/>
      <c r="R54" s="70"/>
      <c r="S54" s="71"/>
      <c r="T54" s="68">
        <f t="shared" si="24"/>
        <v>0</v>
      </c>
      <c r="U54" s="82">
        <v>0</v>
      </c>
      <c r="V54" s="68">
        <f t="shared" si="25"/>
        <v>0</v>
      </c>
      <c r="W54" s="73">
        <f t="shared" si="26"/>
        <v>0</v>
      </c>
      <c r="X54" s="74"/>
      <c r="AC54" s="148"/>
      <c r="AD54" s="127"/>
      <c r="AE54" s="127"/>
      <c r="AF54" s="127"/>
      <c r="AG54" s="127"/>
      <c r="AH54" s="127"/>
      <c r="AI54" s="144"/>
      <c r="AJ54" s="127"/>
      <c r="AK54" s="78"/>
      <c r="AL54" s="145"/>
      <c r="AM54" s="127"/>
      <c r="AN54" s="146"/>
      <c r="AO54" s="147"/>
      <c r="AP54" s="78"/>
      <c r="AQ54" s="127"/>
      <c r="AR54" s="146"/>
      <c r="AS54" s="147"/>
      <c r="AT54" s="78"/>
      <c r="AU54" s="147"/>
      <c r="AV54" s="78"/>
      <c r="AW54" s="78"/>
      <c r="AX54" s="149"/>
    </row>
    <row r="55" spans="1:50" ht="15.75" thickBot="1" x14ac:dyDescent="0.3">
      <c r="A55" s="74">
        <f t="shared" si="29"/>
        <v>48</v>
      </c>
      <c r="B55" s="74"/>
      <c r="C55" s="74"/>
      <c r="D55" s="64"/>
      <c r="E55" s="65"/>
      <c r="F55" s="66"/>
      <c r="G55" s="64"/>
      <c r="H55" s="65"/>
      <c r="I55" s="67"/>
      <c r="J55" s="64"/>
      <c r="K55" s="68"/>
      <c r="L55" s="69"/>
      <c r="M55" s="64"/>
      <c r="N55" s="70"/>
      <c r="O55" s="71"/>
      <c r="P55" s="68">
        <f t="shared" si="23"/>
        <v>0</v>
      </c>
      <c r="Q55" s="64"/>
      <c r="R55" s="70"/>
      <c r="S55" s="71"/>
      <c r="T55" s="68">
        <f t="shared" si="24"/>
        <v>0</v>
      </c>
      <c r="U55" s="72">
        <v>0</v>
      </c>
      <c r="V55" s="68">
        <f t="shared" si="25"/>
        <v>0</v>
      </c>
      <c r="W55" s="73">
        <f t="shared" si="26"/>
        <v>0</v>
      </c>
      <c r="X55" s="74"/>
      <c r="AC55" s="148"/>
      <c r="AD55" s="127"/>
      <c r="AE55" s="127"/>
      <c r="AF55" s="127"/>
      <c r="AG55" s="127"/>
      <c r="AH55" s="127"/>
      <c r="AI55" s="144"/>
      <c r="AJ55" s="127"/>
      <c r="AK55" s="78"/>
      <c r="AL55" s="145"/>
      <c r="AM55" s="127"/>
      <c r="AN55" s="146"/>
      <c r="AO55" s="147"/>
      <c r="AP55" s="78"/>
      <c r="AQ55" s="127"/>
      <c r="AR55" s="146"/>
      <c r="AS55" s="147"/>
      <c r="AT55" s="78"/>
      <c r="AU55" s="147"/>
      <c r="AV55" s="78"/>
      <c r="AW55" s="78"/>
    </row>
    <row r="56" spans="1:50" ht="15.75" thickBot="1" x14ac:dyDescent="0.3">
      <c r="A56" s="74">
        <f t="shared" si="29"/>
        <v>49</v>
      </c>
      <c r="B56" s="74"/>
      <c r="C56" s="74"/>
      <c r="D56" s="64"/>
      <c r="E56" s="65"/>
      <c r="F56" s="66"/>
      <c r="G56" s="64"/>
      <c r="H56" s="65"/>
      <c r="I56" s="67"/>
      <c r="J56" s="64"/>
      <c r="K56" s="68"/>
      <c r="L56" s="69"/>
      <c r="M56" s="64"/>
      <c r="N56" s="70"/>
      <c r="O56" s="71"/>
      <c r="P56" s="68">
        <f t="shared" ref="P56:P57" si="57">O56*N56</f>
        <v>0</v>
      </c>
      <c r="Q56" s="64"/>
      <c r="R56" s="70"/>
      <c r="S56" s="71"/>
      <c r="T56" s="68">
        <f t="shared" ref="T56:T57" si="58">S56*Q56</f>
        <v>0</v>
      </c>
      <c r="U56" s="72">
        <v>0</v>
      </c>
      <c r="V56" s="68">
        <f t="shared" ref="V56:V57" si="59">H56*U56</f>
        <v>0</v>
      </c>
      <c r="W56" s="73">
        <f t="shared" ref="W56:W57" si="60">V56+T56+P56+K56</f>
        <v>0</v>
      </c>
      <c r="X56" s="74"/>
      <c r="AE56" s="127"/>
      <c r="AF56" s="127"/>
      <c r="AG56" s="127"/>
      <c r="AH56" s="127"/>
      <c r="AI56" s="144"/>
      <c r="AJ56" s="127"/>
      <c r="AK56" s="78"/>
      <c r="AL56" s="145"/>
      <c r="AM56" s="127"/>
      <c r="AN56" s="146"/>
      <c r="AO56" s="147"/>
      <c r="AP56" s="78"/>
      <c r="AQ56" s="127"/>
      <c r="AR56" s="146"/>
      <c r="AS56" s="147"/>
      <c r="AT56" s="78"/>
      <c r="AU56" s="147"/>
      <c r="AV56" s="78"/>
      <c r="AW56" s="78"/>
    </row>
    <row r="57" spans="1:50" ht="15.75" thickBot="1" x14ac:dyDescent="0.3">
      <c r="A57" s="74">
        <f t="shared" si="29"/>
        <v>50</v>
      </c>
      <c r="B57" s="74"/>
      <c r="C57" s="74"/>
      <c r="D57" s="64"/>
      <c r="E57" s="65"/>
      <c r="F57" s="66"/>
      <c r="G57" s="64"/>
      <c r="H57" s="65"/>
      <c r="I57" s="67"/>
      <c r="J57" s="64"/>
      <c r="K57" s="68"/>
      <c r="L57" s="69"/>
      <c r="M57" s="64"/>
      <c r="N57" s="70"/>
      <c r="O57" s="71"/>
      <c r="P57" s="68">
        <f t="shared" si="57"/>
        <v>0</v>
      </c>
      <c r="Q57" s="64"/>
      <c r="R57" s="70"/>
      <c r="S57" s="71"/>
      <c r="T57" s="68">
        <f t="shared" si="58"/>
        <v>0</v>
      </c>
      <c r="U57" s="72">
        <v>0</v>
      </c>
      <c r="V57" s="68">
        <f t="shared" si="59"/>
        <v>0</v>
      </c>
      <c r="W57" s="73">
        <f t="shared" si="60"/>
        <v>0</v>
      </c>
      <c r="X57" s="74"/>
      <c r="AC57" s="148"/>
      <c r="AD57" s="127"/>
      <c r="AE57" s="127"/>
      <c r="AF57" s="127"/>
      <c r="AG57" s="127"/>
      <c r="AH57" s="127"/>
      <c r="AI57" s="144"/>
      <c r="AJ57" s="127"/>
      <c r="AK57" s="78"/>
      <c r="AL57" s="145"/>
      <c r="AM57" s="127"/>
      <c r="AN57" s="146"/>
      <c r="AO57" s="147"/>
      <c r="AP57" s="78"/>
      <c r="AQ57" s="127"/>
      <c r="AR57" s="146"/>
      <c r="AS57" s="147"/>
      <c r="AT57" s="78"/>
      <c r="AU57" s="147"/>
      <c r="AV57" s="78"/>
      <c r="AW57" s="78"/>
    </row>
    <row r="58" spans="1:50" ht="15.75" thickBot="1" x14ac:dyDescent="0.3">
      <c r="A58" s="74">
        <f t="shared" si="29"/>
        <v>51</v>
      </c>
      <c r="B58" s="74"/>
      <c r="C58" s="74"/>
      <c r="D58" s="64"/>
      <c r="E58" s="65"/>
      <c r="F58" s="66"/>
      <c r="G58" s="64"/>
      <c r="H58" s="65"/>
      <c r="I58" s="67"/>
      <c r="J58" s="64"/>
      <c r="K58" s="68"/>
      <c r="L58" s="69"/>
      <c r="M58" s="64"/>
      <c r="N58" s="70"/>
      <c r="O58" s="71"/>
      <c r="P58" s="68">
        <f t="shared" ref="P58" si="61">O58*N58</f>
        <v>0</v>
      </c>
      <c r="Q58" s="64"/>
      <c r="R58" s="70"/>
      <c r="S58" s="71"/>
      <c r="T58" s="68">
        <f t="shared" ref="T58" si="62">S58*Q58</f>
        <v>0</v>
      </c>
      <c r="U58" s="72">
        <v>0</v>
      </c>
      <c r="V58" s="68">
        <f t="shared" ref="V58" si="63">H58*U58</f>
        <v>0</v>
      </c>
      <c r="W58" s="73">
        <f t="shared" ref="W58" si="64">V58+T58+P58+K58</f>
        <v>0</v>
      </c>
      <c r="X58" s="74"/>
      <c r="AC58" s="148"/>
      <c r="AD58" s="127"/>
      <c r="AE58" s="127"/>
      <c r="AF58" s="127"/>
      <c r="AG58" s="127"/>
      <c r="AH58" s="127"/>
      <c r="AI58" s="144"/>
      <c r="AJ58" s="127"/>
      <c r="AK58" s="78"/>
      <c r="AL58" s="145"/>
      <c r="AM58" s="127"/>
      <c r="AN58" s="146"/>
      <c r="AO58" s="147"/>
      <c r="AP58" s="78"/>
      <c r="AQ58" s="127"/>
      <c r="AR58" s="146"/>
      <c r="AS58" s="147"/>
      <c r="AT58" s="78"/>
      <c r="AU58" s="147"/>
      <c r="AV58" s="78"/>
      <c r="AW58" s="78"/>
    </row>
    <row r="59" spans="1:50" ht="15.75" thickBot="1" x14ac:dyDescent="0.3">
      <c r="A59" s="74">
        <f t="shared" si="29"/>
        <v>52</v>
      </c>
      <c r="B59" s="63"/>
      <c r="C59" s="74"/>
      <c r="D59" s="64"/>
      <c r="E59" s="65"/>
      <c r="F59" s="66"/>
      <c r="G59" s="64"/>
      <c r="H59" s="65"/>
      <c r="I59" s="67"/>
      <c r="J59" s="64"/>
      <c r="K59" s="68"/>
      <c r="L59" s="69"/>
      <c r="M59" s="64"/>
      <c r="N59" s="70"/>
      <c r="O59" s="71"/>
      <c r="P59" s="68">
        <f t="shared" ref="P59" si="65">O59*N59</f>
        <v>0</v>
      </c>
      <c r="Q59" s="64"/>
      <c r="R59" s="70"/>
      <c r="S59" s="71"/>
      <c r="T59" s="68">
        <f t="shared" ref="T59" si="66">S59*Q59</f>
        <v>0</v>
      </c>
      <c r="U59" s="72">
        <v>0</v>
      </c>
      <c r="V59" s="68">
        <f t="shared" ref="V59" si="67">H59*U59</f>
        <v>0</v>
      </c>
      <c r="W59" s="73">
        <f t="shared" ref="W59" si="68">V59+T59+P59+K59</f>
        <v>0</v>
      </c>
      <c r="X59" s="74"/>
      <c r="AC59" s="148"/>
      <c r="AD59" s="127"/>
      <c r="AE59" s="127"/>
      <c r="AF59" s="127"/>
      <c r="AG59" s="127"/>
      <c r="AH59" s="127"/>
      <c r="AI59" s="144"/>
      <c r="AJ59" s="127"/>
      <c r="AK59" s="78"/>
      <c r="AL59" s="145"/>
      <c r="AM59" s="127"/>
      <c r="AN59" s="146"/>
      <c r="AO59" s="147"/>
      <c r="AP59" s="78"/>
      <c r="AQ59" s="127"/>
      <c r="AR59" s="146"/>
      <c r="AS59" s="147"/>
      <c r="AT59" s="78"/>
      <c r="AU59" s="147"/>
      <c r="AV59" s="78"/>
      <c r="AW59" s="78"/>
      <c r="AX59" s="149"/>
    </row>
    <row r="60" spans="1:50" ht="15.75" hidden="1" thickBot="1" x14ac:dyDescent="0.3">
      <c r="A60" s="158">
        <f t="shared" si="29"/>
        <v>53</v>
      </c>
      <c r="B60" s="159" t="s">
        <v>145</v>
      </c>
      <c r="C60" s="174"/>
      <c r="D60" s="160"/>
      <c r="E60" s="161"/>
      <c r="F60" s="162"/>
      <c r="G60" s="160"/>
      <c r="H60" s="161"/>
      <c r="I60" s="163"/>
      <c r="J60" s="160"/>
      <c r="K60" s="164">
        <f t="shared" si="21"/>
        <v>0</v>
      </c>
      <c r="L60" s="165"/>
      <c r="M60" s="160"/>
      <c r="N60" s="166">
        <f t="shared" si="28"/>
        <v>0</v>
      </c>
      <c r="O60" s="167"/>
      <c r="P60" s="164">
        <f t="shared" si="23"/>
        <v>0</v>
      </c>
      <c r="Q60" s="160"/>
      <c r="R60" s="166"/>
      <c r="S60" s="167"/>
      <c r="T60" s="164">
        <f t="shared" si="24"/>
        <v>0</v>
      </c>
      <c r="U60" s="168"/>
      <c r="V60" s="164">
        <f t="shared" si="25"/>
        <v>0</v>
      </c>
      <c r="W60" s="169">
        <f t="shared" si="26"/>
        <v>0</v>
      </c>
      <c r="X60" s="158"/>
      <c r="Y60" s="170">
        <f>SUM(W60:W66)</f>
        <v>0</v>
      </c>
      <c r="AC60" s="148"/>
      <c r="AD60" s="127"/>
      <c r="AE60" s="127"/>
      <c r="AF60" s="127"/>
      <c r="AG60" s="127"/>
      <c r="AH60" s="127"/>
      <c r="AI60" s="144"/>
      <c r="AJ60" s="127"/>
      <c r="AK60" s="78"/>
      <c r="AL60" s="145"/>
      <c r="AM60" s="127"/>
      <c r="AN60" s="146"/>
      <c r="AO60" s="147"/>
      <c r="AP60" s="78"/>
      <c r="AQ60" s="127"/>
      <c r="AR60" s="146"/>
      <c r="AS60" s="147"/>
      <c r="AT60" s="78"/>
      <c r="AU60" s="147"/>
      <c r="AV60" s="78"/>
      <c r="AW60" s="78"/>
    </row>
    <row r="61" spans="1:50" ht="15.75" hidden="1" thickBot="1" x14ac:dyDescent="0.3">
      <c r="A61" s="74">
        <f t="shared" si="29"/>
        <v>54</v>
      </c>
      <c r="B61" s="74"/>
      <c r="C61" s="74" t="s">
        <v>212</v>
      </c>
      <c r="D61" s="64"/>
      <c r="E61" s="65"/>
      <c r="F61" s="66"/>
      <c r="G61" s="64"/>
      <c r="H61" s="65"/>
      <c r="I61" s="67" t="s">
        <v>134</v>
      </c>
      <c r="J61" s="64"/>
      <c r="K61" s="68">
        <f t="shared" si="21"/>
        <v>0</v>
      </c>
      <c r="L61" s="69"/>
      <c r="M61" s="64"/>
      <c r="N61" s="70">
        <f t="shared" si="28"/>
        <v>0</v>
      </c>
      <c r="O61" s="85"/>
      <c r="P61" s="68">
        <f t="shared" si="23"/>
        <v>0</v>
      </c>
      <c r="Q61" s="64"/>
      <c r="R61" s="70"/>
      <c r="S61" s="85"/>
      <c r="T61" s="68">
        <f t="shared" si="24"/>
        <v>0</v>
      </c>
      <c r="U61" s="82">
        <v>3000</v>
      </c>
      <c r="V61" s="68">
        <f t="shared" si="25"/>
        <v>0</v>
      </c>
      <c r="W61" s="73">
        <f t="shared" si="26"/>
        <v>0</v>
      </c>
      <c r="X61" s="74" t="s">
        <v>127</v>
      </c>
      <c r="AC61" s="148"/>
      <c r="AD61" s="127"/>
      <c r="AE61" s="127"/>
      <c r="AF61" s="127"/>
      <c r="AG61" s="127"/>
      <c r="AH61" s="127"/>
      <c r="AI61" s="144"/>
      <c r="AJ61" s="127"/>
      <c r="AK61" s="78"/>
      <c r="AL61" s="145"/>
      <c r="AM61" s="127"/>
      <c r="AN61" s="146"/>
      <c r="AO61" s="147"/>
      <c r="AP61" s="78"/>
      <c r="AQ61" s="127"/>
      <c r="AR61" s="146"/>
      <c r="AS61" s="147"/>
      <c r="AT61" s="78"/>
      <c r="AU61" s="147"/>
      <c r="AV61" s="78"/>
      <c r="AW61" s="78"/>
    </row>
    <row r="62" spans="1:50" ht="15.75" hidden="1" thickBot="1" x14ac:dyDescent="0.3">
      <c r="A62" s="74">
        <f t="shared" si="29"/>
        <v>55</v>
      </c>
      <c r="B62" s="74"/>
      <c r="C62" s="74" t="s">
        <v>213</v>
      </c>
      <c r="D62" s="64"/>
      <c r="E62" s="65"/>
      <c r="F62" s="66"/>
      <c r="G62" s="64"/>
      <c r="H62" s="65"/>
      <c r="I62" s="67" t="s">
        <v>134</v>
      </c>
      <c r="J62" s="64">
        <v>2500</v>
      </c>
      <c r="K62" s="68">
        <f t="shared" ref="K62:K64" si="69">J62*H62</f>
        <v>0</v>
      </c>
      <c r="L62" s="69"/>
      <c r="M62" s="64"/>
      <c r="N62" s="70">
        <f t="shared" ref="N62:N64" si="70">ROUND(L62*M62*H62,0)</f>
        <v>0</v>
      </c>
      <c r="O62" s="85"/>
      <c r="P62" s="68">
        <f t="shared" ref="P62:P64" si="71">O62*N62</f>
        <v>0</v>
      </c>
      <c r="Q62" s="64"/>
      <c r="R62" s="70"/>
      <c r="S62" s="85"/>
      <c r="T62" s="68">
        <f t="shared" ref="T62:T64" si="72">S62*Q62</f>
        <v>0</v>
      </c>
      <c r="U62" s="82">
        <f>1*8*100</f>
        <v>800</v>
      </c>
      <c r="V62" s="68">
        <f t="shared" ref="V62:V64" si="73">H62*U62</f>
        <v>0</v>
      </c>
      <c r="W62" s="73">
        <f t="shared" ref="W62:W64" si="74">V62+T62+P62+K62</f>
        <v>0</v>
      </c>
      <c r="X62" s="74" t="s">
        <v>127</v>
      </c>
      <c r="AC62" s="148"/>
      <c r="AD62" s="127"/>
      <c r="AE62" s="127"/>
      <c r="AF62" s="127"/>
      <c r="AG62" s="127"/>
      <c r="AH62" s="127"/>
      <c r="AI62" s="144"/>
      <c r="AJ62" s="127"/>
      <c r="AK62" s="78"/>
      <c r="AL62" s="145"/>
      <c r="AM62" s="127"/>
      <c r="AN62" s="146"/>
      <c r="AO62" s="147"/>
      <c r="AP62" s="78"/>
      <c r="AQ62" s="127"/>
      <c r="AR62" s="146"/>
      <c r="AS62" s="147"/>
      <c r="AT62" s="78"/>
      <c r="AU62" s="147"/>
      <c r="AV62" s="78"/>
      <c r="AW62" s="78"/>
    </row>
    <row r="63" spans="1:50" ht="15.75" hidden="1" thickBot="1" x14ac:dyDescent="0.3">
      <c r="A63" s="74">
        <f t="shared" si="29"/>
        <v>56</v>
      </c>
      <c r="B63" s="74"/>
      <c r="C63" s="74" t="s">
        <v>214</v>
      </c>
      <c r="D63" s="64"/>
      <c r="E63" s="65"/>
      <c r="F63" s="66"/>
      <c r="G63" s="64"/>
      <c r="H63" s="65"/>
      <c r="I63" s="67" t="s">
        <v>110</v>
      </c>
      <c r="J63" s="64"/>
      <c r="K63" s="68">
        <f t="shared" si="69"/>
        <v>0</v>
      </c>
      <c r="L63" s="69"/>
      <c r="M63" s="64"/>
      <c r="N63" s="70">
        <f t="shared" si="70"/>
        <v>0</v>
      </c>
      <c r="O63" s="85"/>
      <c r="P63" s="68">
        <f t="shared" si="71"/>
        <v>0</v>
      </c>
      <c r="Q63" s="64"/>
      <c r="R63" s="70"/>
      <c r="S63" s="85"/>
      <c r="T63" s="68">
        <f t="shared" si="72"/>
        <v>0</v>
      </c>
      <c r="U63" s="82">
        <v>2000</v>
      </c>
      <c r="V63" s="68">
        <f t="shared" si="73"/>
        <v>0</v>
      </c>
      <c r="W63" s="73">
        <f t="shared" si="74"/>
        <v>0</v>
      </c>
      <c r="X63" s="74" t="s">
        <v>127</v>
      </c>
      <c r="AC63" s="148"/>
      <c r="AD63" s="127"/>
      <c r="AE63" s="127"/>
      <c r="AF63" s="127"/>
      <c r="AG63" s="127"/>
      <c r="AH63" s="127"/>
      <c r="AI63" s="144"/>
      <c r="AJ63" s="127"/>
      <c r="AK63" s="78"/>
      <c r="AL63" s="145"/>
      <c r="AM63" s="127"/>
      <c r="AN63" s="146"/>
      <c r="AO63" s="147"/>
      <c r="AP63" s="78"/>
      <c r="AQ63" s="127"/>
      <c r="AR63" s="146"/>
      <c r="AS63" s="147"/>
      <c r="AT63" s="78"/>
      <c r="AU63" s="147"/>
      <c r="AV63" s="78"/>
      <c r="AW63" s="78"/>
    </row>
    <row r="64" spans="1:50" ht="15.75" hidden="1" thickBot="1" x14ac:dyDescent="0.3">
      <c r="A64" s="74">
        <f t="shared" si="29"/>
        <v>57</v>
      </c>
      <c r="B64" s="74"/>
      <c r="C64" s="74" t="s">
        <v>215</v>
      </c>
      <c r="D64" s="64"/>
      <c r="E64" s="65"/>
      <c r="F64" s="66"/>
      <c r="G64" s="64"/>
      <c r="H64" s="65"/>
      <c r="I64" s="67" t="s">
        <v>134</v>
      </c>
      <c r="J64" s="64"/>
      <c r="K64" s="68">
        <f t="shared" si="69"/>
        <v>0</v>
      </c>
      <c r="L64" s="69"/>
      <c r="M64" s="64"/>
      <c r="N64" s="70">
        <f t="shared" si="70"/>
        <v>0</v>
      </c>
      <c r="O64" s="85"/>
      <c r="P64" s="68">
        <f t="shared" si="71"/>
        <v>0</v>
      </c>
      <c r="Q64" s="64"/>
      <c r="R64" s="70"/>
      <c r="S64" s="85"/>
      <c r="T64" s="68">
        <f t="shared" si="72"/>
        <v>0</v>
      </c>
      <c r="U64" s="82">
        <v>1000</v>
      </c>
      <c r="V64" s="68">
        <f t="shared" si="73"/>
        <v>0</v>
      </c>
      <c r="W64" s="73">
        <f t="shared" si="74"/>
        <v>0</v>
      </c>
      <c r="X64" s="74" t="s">
        <v>127</v>
      </c>
      <c r="AC64" s="148"/>
      <c r="AD64" s="127"/>
      <c r="AE64" s="127"/>
      <c r="AF64" s="127"/>
      <c r="AG64" s="127"/>
      <c r="AH64" s="127"/>
      <c r="AI64" s="144"/>
      <c r="AJ64" s="127"/>
      <c r="AK64" s="78"/>
      <c r="AL64" s="145"/>
      <c r="AM64" s="127"/>
      <c r="AN64" s="146"/>
      <c r="AO64" s="147"/>
      <c r="AP64" s="78"/>
      <c r="AQ64" s="127"/>
      <c r="AR64" s="146"/>
      <c r="AS64" s="147"/>
      <c r="AT64" s="78"/>
      <c r="AU64" s="147"/>
      <c r="AV64" s="78"/>
      <c r="AW64" s="78"/>
    </row>
    <row r="65" spans="1:50" ht="15.75" hidden="1" thickBot="1" x14ac:dyDescent="0.3">
      <c r="A65" s="74">
        <f t="shared" si="29"/>
        <v>58</v>
      </c>
      <c r="B65" s="74"/>
      <c r="C65" s="84" t="s">
        <v>216</v>
      </c>
      <c r="D65" s="64"/>
      <c r="E65" s="65"/>
      <c r="F65" s="66"/>
      <c r="G65" s="64"/>
      <c r="H65" s="65"/>
      <c r="I65" s="67" t="s">
        <v>134</v>
      </c>
      <c r="J65" s="64">
        <v>0</v>
      </c>
      <c r="K65" s="68">
        <f t="shared" si="21"/>
        <v>0</v>
      </c>
      <c r="L65" s="69"/>
      <c r="M65" s="64">
        <v>2.5</v>
      </c>
      <c r="N65" s="70">
        <f t="shared" si="28"/>
        <v>0</v>
      </c>
      <c r="O65" s="85">
        <v>65</v>
      </c>
      <c r="P65" s="68">
        <f t="shared" si="23"/>
        <v>0</v>
      </c>
      <c r="Q65" s="64"/>
      <c r="R65" s="70"/>
      <c r="S65" s="85"/>
      <c r="T65" s="68">
        <f t="shared" si="24"/>
        <v>0</v>
      </c>
      <c r="U65" s="82">
        <v>5000</v>
      </c>
      <c r="V65" s="68">
        <f t="shared" si="25"/>
        <v>0</v>
      </c>
      <c r="W65" s="73">
        <f>V65+T65+P65+K65</f>
        <v>0</v>
      </c>
      <c r="X65" s="74" t="s">
        <v>127</v>
      </c>
      <c r="AC65" s="148"/>
      <c r="AD65" s="127"/>
      <c r="AE65" s="127"/>
      <c r="AF65" s="127"/>
      <c r="AG65" s="127"/>
      <c r="AH65" s="127"/>
      <c r="AI65" s="144"/>
      <c r="AJ65" s="127"/>
      <c r="AK65" s="78"/>
      <c r="AL65" s="145"/>
      <c r="AM65" s="127"/>
      <c r="AN65" s="146"/>
      <c r="AO65" s="147"/>
      <c r="AP65" s="78"/>
      <c r="AQ65" s="127"/>
      <c r="AR65" s="146"/>
      <c r="AS65" s="147"/>
      <c r="AT65" s="78"/>
      <c r="AU65" s="147"/>
      <c r="AV65" s="78"/>
      <c r="AW65" s="78"/>
      <c r="AX65" s="149"/>
    </row>
    <row r="66" spans="1:50" s="83" customFormat="1" ht="15.75" hidden="1" thickBot="1" x14ac:dyDescent="0.3">
      <c r="A66" s="74">
        <f t="shared" si="29"/>
        <v>59</v>
      </c>
      <c r="B66" s="74"/>
      <c r="C66" s="74" t="s">
        <v>217</v>
      </c>
      <c r="D66" s="64"/>
      <c r="E66" s="65"/>
      <c r="F66" s="66"/>
      <c r="G66" s="64"/>
      <c r="H66" s="65"/>
      <c r="I66" s="67" t="s">
        <v>134</v>
      </c>
      <c r="J66" s="64">
        <v>0</v>
      </c>
      <c r="K66" s="68">
        <f t="shared" si="21"/>
        <v>0</v>
      </c>
      <c r="L66" s="69"/>
      <c r="M66" s="64">
        <v>2.5</v>
      </c>
      <c r="N66" s="70">
        <f t="shared" si="28"/>
        <v>0</v>
      </c>
      <c r="O66" s="85">
        <v>65</v>
      </c>
      <c r="P66" s="68">
        <f t="shared" si="23"/>
        <v>0</v>
      </c>
      <c r="Q66" s="64"/>
      <c r="R66" s="70"/>
      <c r="S66" s="85"/>
      <c r="T66" s="68">
        <f t="shared" si="24"/>
        <v>0</v>
      </c>
      <c r="U66" s="82">
        <v>1000</v>
      </c>
      <c r="V66" s="68">
        <f t="shared" si="25"/>
        <v>0</v>
      </c>
      <c r="W66" s="73">
        <f t="shared" si="26"/>
        <v>0</v>
      </c>
      <c r="X66" s="74" t="s">
        <v>127</v>
      </c>
      <c r="Y66" s="76"/>
      <c r="AA66"/>
      <c r="AC66" s="150"/>
      <c r="AD66" s="151"/>
      <c r="AE66" s="151"/>
      <c r="AF66" s="151"/>
      <c r="AG66" s="151"/>
      <c r="AH66" s="151"/>
      <c r="AI66" s="152"/>
      <c r="AJ66" s="151"/>
      <c r="AK66" s="76"/>
      <c r="AL66" s="153"/>
      <c r="AM66" s="151"/>
      <c r="AN66" s="154"/>
      <c r="AO66" s="155"/>
      <c r="AP66" s="76"/>
      <c r="AQ66" s="151"/>
      <c r="AR66" s="154"/>
      <c r="AS66" s="155"/>
      <c r="AT66" s="76"/>
      <c r="AU66" s="155"/>
      <c r="AV66" s="76"/>
      <c r="AW66" s="76"/>
      <c r="AX66" s="150"/>
    </row>
    <row r="67" spans="1:50" ht="15.75" hidden="1" thickBot="1" x14ac:dyDescent="0.3">
      <c r="A67" s="158">
        <f>A66+1</f>
        <v>60</v>
      </c>
      <c r="B67" s="159" t="s">
        <v>146</v>
      </c>
      <c r="C67" s="158"/>
      <c r="D67" s="160"/>
      <c r="E67" s="161"/>
      <c r="F67" s="162"/>
      <c r="G67" s="160"/>
      <c r="H67" s="161"/>
      <c r="I67" s="163"/>
      <c r="J67" s="160"/>
      <c r="K67" s="164">
        <f t="shared" ref="K67:K86" si="75">J67*H67</f>
        <v>0</v>
      </c>
      <c r="L67" s="165"/>
      <c r="M67" s="160"/>
      <c r="N67" s="166">
        <f t="shared" ref="N67:N86" si="76">L67*M67*H67</f>
        <v>0</v>
      </c>
      <c r="O67" s="167"/>
      <c r="P67" s="164">
        <f t="shared" ref="P67:P86" si="77">O67*N67</f>
        <v>0</v>
      </c>
      <c r="Q67" s="160"/>
      <c r="R67" s="166"/>
      <c r="S67" s="167"/>
      <c r="T67" s="164">
        <f t="shared" ref="T67:T86" si="78">S67*Q67</f>
        <v>0</v>
      </c>
      <c r="U67" s="168"/>
      <c r="V67" s="164">
        <f t="shared" ref="V67:V86" si="79">H67*U67</f>
        <v>0</v>
      </c>
      <c r="W67" s="169">
        <f t="shared" ref="W67:W86" si="80">V67+T67+P67+K67</f>
        <v>0</v>
      </c>
      <c r="X67" s="158"/>
      <c r="Y67" s="175">
        <f>SUM(W67:W74)</f>
        <v>0</v>
      </c>
      <c r="AA67" t="s">
        <v>147</v>
      </c>
      <c r="AB67" s="83">
        <v>12</v>
      </c>
      <c r="AC67" s="148"/>
      <c r="AD67" s="127"/>
      <c r="AE67" s="127"/>
      <c r="AF67" s="127"/>
      <c r="AG67" s="127"/>
      <c r="AH67" s="127"/>
      <c r="AI67" s="144"/>
      <c r="AJ67" s="127"/>
      <c r="AK67" s="78"/>
      <c r="AL67" s="145"/>
      <c r="AM67" s="127"/>
      <c r="AN67" s="146"/>
      <c r="AO67" s="147"/>
      <c r="AP67" s="78"/>
      <c r="AQ67" s="127"/>
      <c r="AR67" s="146"/>
      <c r="AS67" s="147"/>
      <c r="AT67" s="78"/>
      <c r="AU67" s="147"/>
      <c r="AV67" s="78"/>
      <c r="AW67" s="78"/>
    </row>
    <row r="68" spans="1:50" ht="15.75" hidden="1" thickBot="1" x14ac:dyDescent="0.3">
      <c r="A68" s="74">
        <f>A67+1</f>
        <v>61</v>
      </c>
      <c r="B68" s="74"/>
      <c r="C68" s="74" t="s">
        <v>229</v>
      </c>
      <c r="D68" s="64"/>
      <c r="E68" s="65"/>
      <c r="F68" s="66"/>
      <c r="G68" s="64"/>
      <c r="H68" s="65"/>
      <c r="I68" s="67" t="s">
        <v>110</v>
      </c>
      <c r="J68" s="64">
        <v>0</v>
      </c>
      <c r="K68" s="68">
        <f t="shared" si="75"/>
        <v>0</v>
      </c>
      <c r="L68" s="69">
        <v>0</v>
      </c>
      <c r="M68" s="64">
        <v>5.0000000000000001E-3</v>
      </c>
      <c r="N68" s="70">
        <f t="shared" si="76"/>
        <v>0</v>
      </c>
      <c r="O68" s="71">
        <v>75</v>
      </c>
      <c r="P68" s="68">
        <f>O68*N68</f>
        <v>0</v>
      </c>
      <c r="Q68" s="64"/>
      <c r="R68" s="70"/>
      <c r="S68" s="71"/>
      <c r="T68" s="68">
        <f t="shared" si="78"/>
        <v>0</v>
      </c>
      <c r="U68" s="72">
        <v>190141</v>
      </c>
      <c r="V68" s="68">
        <f>H68*U68</f>
        <v>0</v>
      </c>
      <c r="W68" s="73">
        <f>V68+T68+P68+K68</f>
        <v>0</v>
      </c>
      <c r="X68" s="74"/>
      <c r="AA68" t="s">
        <v>148</v>
      </c>
      <c r="AB68" s="156">
        <v>20.9</v>
      </c>
      <c r="AC68" t="e">
        <f>(#REF!*1.15)</f>
        <v>#REF!</v>
      </c>
      <c r="AD68" s="156" t="e">
        <f>AB68*AC68</f>
        <v>#REF!</v>
      </c>
    </row>
    <row r="69" spans="1:50" ht="15.75" hidden="1" thickBot="1" x14ac:dyDescent="0.3">
      <c r="A69" s="74">
        <f t="shared" si="29"/>
        <v>62</v>
      </c>
      <c r="B69" s="74"/>
      <c r="C69" s="74" t="s">
        <v>223</v>
      </c>
      <c r="D69" s="64"/>
      <c r="E69" s="65"/>
      <c r="F69" s="66"/>
      <c r="G69" s="64"/>
      <c r="H69" s="65">
        <v>0</v>
      </c>
      <c r="I69" s="67" t="s">
        <v>134</v>
      </c>
      <c r="J69" s="64"/>
      <c r="K69" s="68">
        <f t="shared" si="75"/>
        <v>0</v>
      </c>
      <c r="L69" s="69"/>
      <c r="M69" s="64"/>
      <c r="N69" s="70">
        <f t="shared" si="76"/>
        <v>0</v>
      </c>
      <c r="O69" s="85"/>
      <c r="P69" s="68">
        <f t="shared" si="77"/>
        <v>0</v>
      </c>
      <c r="Q69" s="64"/>
      <c r="R69" s="70"/>
      <c r="S69" s="85"/>
      <c r="T69" s="68">
        <f t="shared" si="78"/>
        <v>0</v>
      </c>
      <c r="U69" s="82">
        <v>0</v>
      </c>
      <c r="V69" s="68">
        <f>H69*U69</f>
        <v>0</v>
      </c>
      <c r="W69" s="73">
        <f t="shared" si="80"/>
        <v>0</v>
      </c>
      <c r="X69" s="75"/>
      <c r="Y69" t="s">
        <v>228</v>
      </c>
      <c r="Z69" s="78"/>
      <c r="AA69" t="s">
        <v>149</v>
      </c>
      <c r="AB69" s="156">
        <v>0.51</v>
      </c>
      <c r="AC69" t="e">
        <f>((#REF!*AB67*2)+(#REF!*AB67)+(200*10))*1.1</f>
        <v>#REF!</v>
      </c>
      <c r="AD69" s="156" t="e">
        <f>AB69*AC69</f>
        <v>#REF!</v>
      </c>
    </row>
    <row r="70" spans="1:50" ht="15.75" hidden="1" thickBot="1" x14ac:dyDescent="0.3">
      <c r="A70" s="74">
        <f t="shared" si="29"/>
        <v>63</v>
      </c>
      <c r="B70" s="74"/>
      <c r="C70" s="74" t="s">
        <v>150</v>
      </c>
      <c r="D70" s="64"/>
      <c r="E70" s="65"/>
      <c r="F70" s="66"/>
      <c r="G70" s="64"/>
      <c r="H70" s="65">
        <v>0</v>
      </c>
      <c r="I70" s="67" t="s">
        <v>134</v>
      </c>
      <c r="J70" s="64"/>
      <c r="K70" s="68">
        <f t="shared" ref="K70" si="81">J70*H70</f>
        <v>0</v>
      </c>
      <c r="L70" s="69"/>
      <c r="M70" s="64"/>
      <c r="N70" s="70">
        <f t="shared" ref="N70" si="82">L70*M70*H70</f>
        <v>0</v>
      </c>
      <c r="O70" s="85"/>
      <c r="P70" s="68">
        <f t="shared" ref="P70" si="83">O70*N70</f>
        <v>0</v>
      </c>
      <c r="Q70" s="64"/>
      <c r="R70" s="70"/>
      <c r="S70" s="85"/>
      <c r="T70" s="68">
        <f t="shared" ref="T70" si="84">S70*Q70</f>
        <v>0</v>
      </c>
      <c r="U70" s="82">
        <v>0</v>
      </c>
      <c r="V70" s="68">
        <f t="shared" ref="V70" si="85">H70*U70</f>
        <v>0</v>
      </c>
      <c r="W70" s="73">
        <f t="shared" ref="W70" si="86">V70+T70+P70+K70</f>
        <v>0</v>
      </c>
      <c r="X70" s="74"/>
      <c r="AA70" t="s">
        <v>151</v>
      </c>
      <c r="AB70" s="156">
        <v>500</v>
      </c>
      <c r="AC70">
        <v>1</v>
      </c>
      <c r="AD70" s="156">
        <f t="shared" ref="AD70" si="87">AB70*AC70</f>
        <v>500</v>
      </c>
    </row>
    <row r="71" spans="1:50" ht="15.75" hidden="1" thickBot="1" x14ac:dyDescent="0.3">
      <c r="A71" s="74">
        <f t="shared" si="29"/>
        <v>64</v>
      </c>
      <c r="B71" s="74"/>
      <c r="C71" s="74" t="s">
        <v>152</v>
      </c>
      <c r="D71" s="64"/>
      <c r="E71" s="65"/>
      <c r="F71" s="66"/>
      <c r="G71" s="64"/>
      <c r="H71" s="65">
        <v>0</v>
      </c>
      <c r="I71" s="67" t="s">
        <v>78</v>
      </c>
      <c r="J71" s="64"/>
      <c r="K71" s="68">
        <f t="shared" si="75"/>
        <v>0</v>
      </c>
      <c r="L71" s="69"/>
      <c r="M71" s="64"/>
      <c r="N71" s="70">
        <f t="shared" si="76"/>
        <v>0</v>
      </c>
      <c r="O71" s="85"/>
      <c r="P71" s="68">
        <f t="shared" si="77"/>
        <v>0</v>
      </c>
      <c r="Q71" s="64"/>
      <c r="R71" s="70"/>
      <c r="S71" s="85"/>
      <c r="T71" s="68">
        <f t="shared" si="78"/>
        <v>0</v>
      </c>
      <c r="U71" s="82">
        <v>0</v>
      </c>
      <c r="V71" s="68">
        <f t="shared" si="79"/>
        <v>0</v>
      </c>
      <c r="W71" s="73">
        <f t="shared" si="80"/>
        <v>0</v>
      </c>
      <c r="X71" s="74"/>
    </row>
    <row r="72" spans="1:50" ht="15.75" hidden="1" thickBot="1" x14ac:dyDescent="0.3">
      <c r="A72" s="74">
        <f t="shared" si="29"/>
        <v>65</v>
      </c>
      <c r="B72" s="63"/>
      <c r="C72" s="74" t="s">
        <v>219</v>
      </c>
      <c r="D72" s="64"/>
      <c r="E72" s="65"/>
      <c r="F72" s="66"/>
      <c r="G72" s="64"/>
      <c r="H72" s="65">
        <v>0</v>
      </c>
      <c r="I72" s="67" t="s">
        <v>132</v>
      </c>
      <c r="J72" s="64"/>
      <c r="K72" s="68">
        <f t="shared" si="75"/>
        <v>0</v>
      </c>
      <c r="L72" s="69"/>
      <c r="M72" s="64"/>
      <c r="N72" s="70">
        <f t="shared" si="76"/>
        <v>0</v>
      </c>
      <c r="O72" s="85"/>
      <c r="P72" s="68">
        <f t="shared" si="77"/>
        <v>0</v>
      </c>
      <c r="Q72" s="64"/>
      <c r="R72" s="70"/>
      <c r="S72" s="85"/>
      <c r="T72" s="68">
        <f t="shared" si="78"/>
        <v>0</v>
      </c>
      <c r="U72" s="82">
        <v>0</v>
      </c>
      <c r="V72" s="68">
        <f t="shared" si="79"/>
        <v>0</v>
      </c>
      <c r="W72" s="73">
        <f t="shared" si="80"/>
        <v>0</v>
      </c>
      <c r="X72" s="74" t="s">
        <v>226</v>
      </c>
    </row>
    <row r="73" spans="1:50" ht="15.75" hidden="1" thickBot="1" x14ac:dyDescent="0.3">
      <c r="A73" s="74">
        <f t="shared" si="29"/>
        <v>66</v>
      </c>
      <c r="B73" s="63"/>
      <c r="C73" s="75" t="s">
        <v>224</v>
      </c>
      <c r="D73" s="64"/>
      <c r="E73" s="65"/>
      <c r="F73" s="66"/>
      <c r="G73" s="64">
        <v>14000</v>
      </c>
      <c r="H73" s="65"/>
      <c r="I73" s="67" t="s">
        <v>110</v>
      </c>
      <c r="J73" s="64"/>
      <c r="K73" s="68">
        <f t="shared" si="75"/>
        <v>0</v>
      </c>
      <c r="L73" s="69"/>
      <c r="M73" s="64"/>
      <c r="N73" s="70">
        <f t="shared" ref="N73:N74" si="88">ROUND(L73*M73*H73,0)</f>
        <v>0</v>
      </c>
      <c r="O73" s="85"/>
      <c r="P73" s="68">
        <f t="shared" si="77"/>
        <v>0</v>
      </c>
      <c r="Q73" s="64"/>
      <c r="R73" s="70"/>
      <c r="S73" s="85"/>
      <c r="T73" s="68">
        <f t="shared" si="78"/>
        <v>0</v>
      </c>
      <c r="U73" s="82">
        <v>859859</v>
      </c>
      <c r="V73" s="68">
        <f t="shared" si="79"/>
        <v>0</v>
      </c>
      <c r="W73" s="73">
        <f t="shared" si="80"/>
        <v>0</v>
      </c>
      <c r="X73" s="74" t="s">
        <v>227</v>
      </c>
      <c r="AA73" s="74"/>
      <c r="AB73" s="74"/>
      <c r="AC73" s="77"/>
      <c r="AD73" s="64"/>
      <c r="AE73" s="65"/>
      <c r="AF73" s="66"/>
      <c r="AG73" s="64"/>
      <c r="AH73" s="65"/>
      <c r="AI73" s="67"/>
      <c r="AJ73" s="64"/>
      <c r="AK73" s="68"/>
      <c r="AL73" s="69"/>
      <c r="AM73" s="64"/>
      <c r="AN73" s="70"/>
      <c r="AO73" s="71"/>
      <c r="AP73" s="68"/>
      <c r="AQ73" s="64"/>
      <c r="AR73" s="70"/>
      <c r="AS73" s="71"/>
      <c r="AT73" s="68"/>
      <c r="AU73" s="72"/>
      <c r="AV73" s="68"/>
      <c r="AW73" s="73"/>
      <c r="AX73" s="74"/>
    </row>
    <row r="74" spans="1:50" ht="15.75" hidden="1" thickBot="1" x14ac:dyDescent="0.3">
      <c r="A74" s="74">
        <f t="shared" si="29"/>
        <v>67</v>
      </c>
      <c r="B74" s="74"/>
      <c r="C74" s="63" t="s">
        <v>225</v>
      </c>
      <c r="D74" s="64"/>
      <c r="E74" s="65"/>
      <c r="F74" s="66"/>
      <c r="G74" s="64"/>
      <c r="H74" s="65"/>
      <c r="I74" s="67" t="s">
        <v>110</v>
      </c>
      <c r="J74" s="64"/>
      <c r="K74" s="68">
        <f t="shared" si="75"/>
        <v>0</v>
      </c>
      <c r="L74" s="69"/>
      <c r="M74" s="64"/>
      <c r="N74" s="70">
        <f t="shared" si="88"/>
        <v>0</v>
      </c>
      <c r="O74" s="85"/>
      <c r="P74" s="68">
        <f t="shared" si="77"/>
        <v>0</v>
      </c>
      <c r="Q74" s="64"/>
      <c r="R74" s="70"/>
      <c r="S74" s="85"/>
      <c r="T74" s="68">
        <f t="shared" si="78"/>
        <v>0</v>
      </c>
      <c r="U74" s="82">
        <v>0</v>
      </c>
      <c r="V74" s="68">
        <f t="shared" si="79"/>
        <v>0</v>
      </c>
      <c r="W74" s="73">
        <f t="shared" si="80"/>
        <v>0</v>
      </c>
      <c r="X74" s="74"/>
      <c r="AA74" s="74"/>
      <c r="AB74" s="74"/>
      <c r="AC74" s="77"/>
      <c r="AD74" s="64"/>
      <c r="AE74" s="65"/>
      <c r="AF74" s="66"/>
      <c r="AG74" s="64"/>
      <c r="AH74" s="65"/>
      <c r="AI74" s="67"/>
      <c r="AJ74" s="64"/>
      <c r="AK74" s="68"/>
      <c r="AL74" s="69"/>
      <c r="AM74" s="64"/>
      <c r="AN74" s="70"/>
      <c r="AO74" s="71"/>
      <c r="AP74" s="68"/>
      <c r="AQ74" s="64"/>
      <c r="AR74" s="70"/>
      <c r="AS74" s="71"/>
      <c r="AT74" s="68"/>
      <c r="AU74" s="72"/>
      <c r="AV74" s="68"/>
      <c r="AW74" s="73"/>
      <c r="AX74" s="74"/>
    </row>
    <row r="75" spans="1:50" ht="15.75" thickBot="1" x14ac:dyDescent="0.3">
      <c r="A75" s="158">
        <f t="shared" si="29"/>
        <v>68</v>
      </c>
      <c r="B75" s="159" t="s">
        <v>153</v>
      </c>
      <c r="C75" s="158"/>
      <c r="D75" s="160"/>
      <c r="E75" s="161"/>
      <c r="F75" s="162"/>
      <c r="G75" s="160"/>
      <c r="H75" s="161"/>
      <c r="I75" s="163"/>
      <c r="J75" s="160"/>
      <c r="K75" s="164">
        <f t="shared" si="75"/>
        <v>0</v>
      </c>
      <c r="L75" s="165"/>
      <c r="M75" s="160"/>
      <c r="N75" s="166">
        <f t="shared" si="76"/>
        <v>0</v>
      </c>
      <c r="O75" s="167"/>
      <c r="P75" s="164">
        <f t="shared" si="77"/>
        <v>0</v>
      </c>
      <c r="Q75" s="160"/>
      <c r="R75" s="166"/>
      <c r="S75" s="167"/>
      <c r="T75" s="164">
        <f t="shared" si="78"/>
        <v>0</v>
      </c>
      <c r="U75" s="168"/>
      <c r="V75" s="164">
        <f t="shared" si="79"/>
        <v>0</v>
      </c>
      <c r="W75" s="169">
        <f t="shared" si="80"/>
        <v>0</v>
      </c>
      <c r="X75" s="158"/>
      <c r="Y75" s="170">
        <f>SUM(W75:W76)</f>
        <v>0</v>
      </c>
    </row>
    <row r="76" spans="1:50" ht="15.75" hidden="1" thickBot="1" x14ac:dyDescent="0.3">
      <c r="A76" s="74">
        <f t="shared" si="29"/>
        <v>69</v>
      </c>
      <c r="B76" s="74"/>
      <c r="C76" s="74"/>
      <c r="D76" s="64"/>
      <c r="E76" s="65"/>
      <c r="F76" s="66"/>
      <c r="G76" s="64">
        <v>0</v>
      </c>
      <c r="H76" s="65">
        <v>1</v>
      </c>
      <c r="I76" s="67" t="s">
        <v>134</v>
      </c>
      <c r="J76" s="64"/>
      <c r="K76" s="68">
        <f t="shared" si="75"/>
        <v>0</v>
      </c>
      <c r="L76" s="69"/>
      <c r="M76" s="64"/>
      <c r="N76" s="70">
        <f t="shared" si="76"/>
        <v>0</v>
      </c>
      <c r="O76" s="71"/>
      <c r="P76" s="68">
        <f t="shared" si="77"/>
        <v>0</v>
      </c>
      <c r="Q76" s="64"/>
      <c r="R76" s="70"/>
      <c r="S76" s="71"/>
      <c r="T76" s="68">
        <f t="shared" si="78"/>
        <v>0</v>
      </c>
      <c r="U76" s="72">
        <v>0</v>
      </c>
      <c r="V76" s="68">
        <f t="shared" si="79"/>
        <v>0</v>
      </c>
      <c r="W76" s="73">
        <f t="shared" si="80"/>
        <v>0</v>
      </c>
      <c r="X76" s="74"/>
    </row>
    <row r="77" spans="1:50" ht="15.75" thickBot="1" x14ac:dyDescent="0.3">
      <c r="A77" s="158">
        <f t="shared" si="29"/>
        <v>70</v>
      </c>
      <c r="B77" s="159" t="s">
        <v>154</v>
      </c>
      <c r="C77" s="158"/>
      <c r="D77" s="160"/>
      <c r="E77" s="161"/>
      <c r="F77" s="162"/>
      <c r="G77" s="160"/>
      <c r="H77" s="161"/>
      <c r="I77" s="163"/>
      <c r="J77" s="160"/>
      <c r="K77" s="164">
        <f t="shared" si="75"/>
        <v>0</v>
      </c>
      <c r="L77" s="165"/>
      <c r="M77" s="160"/>
      <c r="N77" s="166">
        <f t="shared" si="76"/>
        <v>0</v>
      </c>
      <c r="O77" s="167"/>
      <c r="P77" s="164">
        <f t="shared" si="77"/>
        <v>0</v>
      </c>
      <c r="Q77" s="160"/>
      <c r="R77" s="166"/>
      <c r="S77" s="167"/>
      <c r="T77" s="164">
        <f t="shared" si="78"/>
        <v>0</v>
      </c>
      <c r="U77" s="168"/>
      <c r="V77" s="164">
        <f t="shared" si="79"/>
        <v>0</v>
      </c>
      <c r="W77" s="169">
        <f t="shared" si="80"/>
        <v>0</v>
      </c>
      <c r="X77" s="158"/>
      <c r="Y77" s="173"/>
    </row>
    <row r="78" spans="1:50" ht="15.75" hidden="1" thickBot="1" x14ac:dyDescent="0.3">
      <c r="A78" s="74">
        <f t="shared" si="29"/>
        <v>71</v>
      </c>
      <c r="B78" s="74"/>
      <c r="C78" s="74" t="s">
        <v>155</v>
      </c>
      <c r="D78" s="64"/>
      <c r="E78" s="65"/>
      <c r="F78" s="66"/>
      <c r="G78" s="64"/>
      <c r="H78" s="65"/>
      <c r="I78" s="67"/>
      <c r="J78" s="64"/>
      <c r="K78" s="68">
        <f t="shared" si="75"/>
        <v>0</v>
      </c>
      <c r="L78" s="69"/>
      <c r="M78" s="64"/>
      <c r="N78" s="70">
        <f t="shared" si="76"/>
        <v>0</v>
      </c>
      <c r="O78" s="71"/>
      <c r="P78" s="68">
        <f t="shared" si="77"/>
        <v>0</v>
      </c>
      <c r="Q78" s="64"/>
      <c r="R78" s="70"/>
      <c r="S78" s="71"/>
      <c r="T78" s="68">
        <f t="shared" si="78"/>
        <v>0</v>
      </c>
      <c r="U78" s="72"/>
      <c r="V78" s="68">
        <f t="shared" si="79"/>
        <v>0</v>
      </c>
      <c r="W78" s="73">
        <f t="shared" si="80"/>
        <v>0</v>
      </c>
      <c r="X78" s="74"/>
    </row>
    <row r="79" spans="1:50" ht="15.75" thickBot="1" x14ac:dyDescent="0.3">
      <c r="A79" s="158">
        <f t="shared" si="29"/>
        <v>72</v>
      </c>
      <c r="B79" s="159" t="s">
        <v>156</v>
      </c>
      <c r="C79" s="158"/>
      <c r="D79" s="160"/>
      <c r="E79" s="161"/>
      <c r="F79" s="162"/>
      <c r="G79" s="160"/>
      <c r="H79" s="161"/>
      <c r="I79" s="163"/>
      <c r="J79" s="160"/>
      <c r="K79" s="164">
        <f t="shared" si="75"/>
        <v>0</v>
      </c>
      <c r="L79" s="165"/>
      <c r="M79" s="160"/>
      <c r="N79" s="166">
        <f t="shared" si="76"/>
        <v>0</v>
      </c>
      <c r="O79" s="167"/>
      <c r="P79" s="164">
        <f t="shared" si="77"/>
        <v>0</v>
      </c>
      <c r="Q79" s="160"/>
      <c r="R79" s="166"/>
      <c r="S79" s="167"/>
      <c r="T79" s="164">
        <f t="shared" si="78"/>
        <v>0</v>
      </c>
      <c r="U79" s="168"/>
      <c r="V79" s="164">
        <f t="shared" si="79"/>
        <v>0</v>
      </c>
      <c r="W79" s="169">
        <f t="shared" si="80"/>
        <v>0</v>
      </c>
      <c r="X79" s="158"/>
      <c r="Y79" s="170">
        <f>SUM(W79:W79)</f>
        <v>0</v>
      </c>
    </row>
    <row r="80" spans="1:50" ht="15.75" thickBot="1" x14ac:dyDescent="0.3">
      <c r="A80" s="158">
        <f t="shared" si="29"/>
        <v>73</v>
      </c>
      <c r="B80" s="159" t="s">
        <v>157</v>
      </c>
      <c r="C80" s="158"/>
      <c r="D80" s="160"/>
      <c r="E80" s="161"/>
      <c r="F80" s="162"/>
      <c r="G80" s="160"/>
      <c r="H80" s="161"/>
      <c r="I80" s="163"/>
      <c r="J80" s="160"/>
      <c r="K80" s="164">
        <f t="shared" si="75"/>
        <v>0</v>
      </c>
      <c r="L80" s="165"/>
      <c r="M80" s="160"/>
      <c r="N80" s="166">
        <f t="shared" si="76"/>
        <v>0</v>
      </c>
      <c r="O80" s="167"/>
      <c r="P80" s="164">
        <f t="shared" si="77"/>
        <v>0</v>
      </c>
      <c r="Q80" s="160"/>
      <c r="R80" s="166"/>
      <c r="S80" s="167"/>
      <c r="T80" s="164">
        <f t="shared" si="78"/>
        <v>0</v>
      </c>
      <c r="U80" s="168"/>
      <c r="V80" s="164">
        <f t="shared" si="79"/>
        <v>0</v>
      </c>
      <c r="W80" s="169">
        <f t="shared" si="80"/>
        <v>0</v>
      </c>
      <c r="X80" s="158"/>
      <c r="Y80" s="170">
        <f>SUM(W80:W81)</f>
        <v>23500</v>
      </c>
    </row>
    <row r="81" spans="1:29" ht="15.75" thickBot="1" x14ac:dyDescent="0.3">
      <c r="A81" s="81">
        <f t="shared" si="29"/>
        <v>74</v>
      </c>
      <c r="B81" s="81"/>
      <c r="C81" s="81" t="s">
        <v>158</v>
      </c>
      <c r="D81" s="188"/>
      <c r="E81" s="189"/>
      <c r="F81" s="190"/>
      <c r="G81" s="188"/>
      <c r="H81" s="189">
        <v>1</v>
      </c>
      <c r="I81" s="191" t="s">
        <v>134</v>
      </c>
      <c r="J81" s="188"/>
      <c r="K81" s="192">
        <f t="shared" si="75"/>
        <v>0</v>
      </c>
      <c r="L81" s="193"/>
      <c r="M81" s="188"/>
      <c r="N81" s="194">
        <f t="shared" si="76"/>
        <v>0</v>
      </c>
      <c r="O81" s="195"/>
      <c r="P81" s="192">
        <f t="shared" si="77"/>
        <v>0</v>
      </c>
      <c r="Q81" s="188"/>
      <c r="R81" s="194"/>
      <c r="S81" s="195"/>
      <c r="T81" s="192">
        <f t="shared" si="78"/>
        <v>0</v>
      </c>
      <c r="U81" s="196">
        <v>23500</v>
      </c>
      <c r="V81" s="192">
        <f t="shared" si="79"/>
        <v>23500</v>
      </c>
      <c r="W81" s="197">
        <f t="shared" si="80"/>
        <v>23500</v>
      </c>
      <c r="X81" s="81" t="s">
        <v>127</v>
      </c>
    </row>
    <row r="82" spans="1:29" ht="15.75" thickBot="1" x14ac:dyDescent="0.3">
      <c r="A82" s="158">
        <f t="shared" si="29"/>
        <v>75</v>
      </c>
      <c r="B82" s="159" t="s">
        <v>159</v>
      </c>
      <c r="C82" s="158"/>
      <c r="D82" s="160"/>
      <c r="E82" s="161"/>
      <c r="F82" s="162"/>
      <c r="G82" s="160"/>
      <c r="H82" s="161"/>
      <c r="I82" s="163" t="s">
        <v>110</v>
      </c>
      <c r="J82" s="160"/>
      <c r="K82" s="164">
        <f t="shared" si="75"/>
        <v>0</v>
      </c>
      <c r="L82" s="165"/>
      <c r="M82" s="160"/>
      <c r="N82" s="166">
        <f t="shared" si="76"/>
        <v>0</v>
      </c>
      <c r="O82" s="167"/>
      <c r="P82" s="164">
        <f t="shared" si="77"/>
        <v>0</v>
      </c>
      <c r="Q82" s="160"/>
      <c r="R82" s="166"/>
      <c r="S82" s="167"/>
      <c r="T82" s="164">
        <f t="shared" si="78"/>
        <v>0</v>
      </c>
      <c r="U82" s="168"/>
      <c r="V82" s="164">
        <f t="shared" si="79"/>
        <v>0</v>
      </c>
      <c r="W82" s="169">
        <f t="shared" si="80"/>
        <v>0</v>
      </c>
      <c r="X82" s="158"/>
      <c r="Y82" s="170">
        <f>SUM(W82:W86)</f>
        <v>92500</v>
      </c>
    </row>
    <row r="83" spans="1:29" ht="15.75" thickBot="1" x14ac:dyDescent="0.3">
      <c r="A83" s="211">
        <f t="shared" si="29"/>
        <v>76</v>
      </c>
      <c r="B83" s="211"/>
      <c r="C83" s="211" t="s">
        <v>160</v>
      </c>
      <c r="D83" s="212"/>
      <c r="E83" s="213"/>
      <c r="F83" s="214"/>
      <c r="G83" s="212"/>
      <c r="H83" s="213">
        <v>0</v>
      </c>
      <c r="I83" s="215" t="s">
        <v>110</v>
      </c>
      <c r="J83" s="212"/>
      <c r="K83" s="216">
        <f t="shared" si="75"/>
        <v>0</v>
      </c>
      <c r="L83" s="217"/>
      <c r="M83" s="212"/>
      <c r="N83" s="218">
        <f t="shared" si="76"/>
        <v>0</v>
      </c>
      <c r="O83" s="219"/>
      <c r="P83" s="216">
        <f t="shared" si="77"/>
        <v>0</v>
      </c>
      <c r="Q83" s="212"/>
      <c r="R83" s="218"/>
      <c r="S83" s="219"/>
      <c r="T83" s="216">
        <f t="shared" si="78"/>
        <v>0</v>
      </c>
      <c r="U83" s="220">
        <v>275000</v>
      </c>
      <c r="V83" s="216">
        <f t="shared" si="79"/>
        <v>0</v>
      </c>
      <c r="W83" s="221">
        <f t="shared" si="80"/>
        <v>0</v>
      </c>
      <c r="X83" s="211" t="s">
        <v>235</v>
      </c>
    </row>
    <row r="84" spans="1:29" ht="15.75" thickBot="1" x14ac:dyDescent="0.3">
      <c r="A84" s="81">
        <f t="shared" si="29"/>
        <v>77</v>
      </c>
      <c r="B84" s="81"/>
      <c r="C84" s="81" t="s">
        <v>239</v>
      </c>
      <c r="D84" s="188"/>
      <c r="E84" s="189"/>
      <c r="F84" s="190"/>
      <c r="G84" s="188"/>
      <c r="H84" s="189">
        <v>5</v>
      </c>
      <c r="I84" s="191" t="s">
        <v>134</v>
      </c>
      <c r="J84" s="188"/>
      <c r="K84" s="192">
        <f t="shared" ref="K84" si="89">J84*H84</f>
        <v>0</v>
      </c>
      <c r="L84" s="193"/>
      <c r="M84" s="188"/>
      <c r="N84" s="194">
        <f t="shared" ref="N84" si="90">L84*M84*H84</f>
        <v>0</v>
      </c>
      <c r="O84" s="195"/>
      <c r="P84" s="192">
        <f t="shared" ref="P84" si="91">O84*N84</f>
        <v>0</v>
      </c>
      <c r="Q84" s="188"/>
      <c r="R84" s="194"/>
      <c r="S84" s="195"/>
      <c r="T84" s="192">
        <f t="shared" ref="T84" si="92">S84*Q84</f>
        <v>0</v>
      </c>
      <c r="U84" s="196">
        <v>7500</v>
      </c>
      <c r="V84" s="192">
        <f t="shared" ref="V84" si="93">H84*U84</f>
        <v>37500</v>
      </c>
      <c r="W84" s="197">
        <f>V84+T84+P84+K84</f>
        <v>37500</v>
      </c>
      <c r="X84" s="81" t="s">
        <v>127</v>
      </c>
    </row>
    <row r="85" spans="1:29" ht="15.75" thickBot="1" x14ac:dyDescent="0.3">
      <c r="A85" s="81">
        <f t="shared" si="29"/>
        <v>78</v>
      </c>
      <c r="B85" s="81"/>
      <c r="C85" s="81" t="s">
        <v>229</v>
      </c>
      <c r="D85" s="188"/>
      <c r="E85" s="189"/>
      <c r="F85" s="190"/>
      <c r="G85" s="188"/>
      <c r="H85" s="189">
        <v>1</v>
      </c>
      <c r="I85" s="191" t="s">
        <v>110</v>
      </c>
      <c r="J85" s="188"/>
      <c r="K85" s="192">
        <f t="shared" ref="K85" si="94">J85*H85</f>
        <v>0</v>
      </c>
      <c r="L85" s="193"/>
      <c r="M85" s="188"/>
      <c r="N85" s="194">
        <f t="shared" ref="N85" si="95">L85*M85*H85</f>
        <v>0</v>
      </c>
      <c r="O85" s="195"/>
      <c r="P85" s="192">
        <f t="shared" ref="P85" si="96">O85*N85</f>
        <v>0</v>
      </c>
      <c r="Q85" s="188"/>
      <c r="R85" s="194"/>
      <c r="S85" s="195"/>
      <c r="T85" s="192">
        <f t="shared" ref="T85" si="97">S85*Q85</f>
        <v>0</v>
      </c>
      <c r="U85" s="196">
        <v>35000</v>
      </c>
      <c r="V85" s="192">
        <f t="shared" ref="V85" si="98">H85*U85</f>
        <v>35000</v>
      </c>
      <c r="W85" s="197">
        <f t="shared" ref="W85" si="99">V85+T85+P85+K85</f>
        <v>35000</v>
      </c>
      <c r="X85" s="81" t="s">
        <v>127</v>
      </c>
    </row>
    <row r="86" spans="1:29" ht="15.75" thickBot="1" x14ac:dyDescent="0.3">
      <c r="A86" s="81">
        <f t="shared" si="29"/>
        <v>79</v>
      </c>
      <c r="B86" s="81"/>
      <c r="C86" s="81" t="s">
        <v>204</v>
      </c>
      <c r="D86" s="188"/>
      <c r="E86" s="189"/>
      <c r="F86" s="190"/>
      <c r="G86" s="188"/>
      <c r="H86" s="189">
        <v>1</v>
      </c>
      <c r="I86" s="191" t="s">
        <v>134</v>
      </c>
      <c r="J86" s="188"/>
      <c r="K86" s="192">
        <f t="shared" si="75"/>
        <v>0</v>
      </c>
      <c r="L86" s="193"/>
      <c r="M86" s="188"/>
      <c r="N86" s="194">
        <f t="shared" si="76"/>
        <v>0</v>
      </c>
      <c r="O86" s="195"/>
      <c r="P86" s="192">
        <f t="shared" si="77"/>
        <v>0</v>
      </c>
      <c r="Q86" s="188"/>
      <c r="R86" s="194"/>
      <c r="S86" s="195"/>
      <c r="T86" s="192">
        <f t="shared" si="78"/>
        <v>0</v>
      </c>
      <c r="U86" s="196">
        <v>20000</v>
      </c>
      <c r="V86" s="192">
        <f t="shared" si="79"/>
        <v>20000</v>
      </c>
      <c r="W86" s="197">
        <f t="shared" si="80"/>
        <v>20000</v>
      </c>
      <c r="X86" s="81" t="s">
        <v>127</v>
      </c>
    </row>
    <row r="87" spans="1:29" ht="15.75" thickBot="1" x14ac:dyDescent="0.3">
      <c r="A87" s="158">
        <f t="shared" si="29"/>
        <v>80</v>
      </c>
      <c r="B87" s="159" t="s">
        <v>161</v>
      </c>
      <c r="C87" s="158"/>
      <c r="D87" s="160"/>
      <c r="E87" s="161"/>
      <c r="F87" s="162"/>
      <c r="G87" s="160"/>
      <c r="H87" s="161"/>
      <c r="I87" s="163" t="s">
        <v>110</v>
      </c>
      <c r="J87" s="160"/>
      <c r="K87" s="164">
        <f t="shared" ref="K87:K112" si="100">J87*H87</f>
        <v>0</v>
      </c>
      <c r="L87" s="165"/>
      <c r="M87" s="160"/>
      <c r="N87" s="166">
        <f t="shared" ref="N87:N89" si="101">L87*M87*H87</f>
        <v>0</v>
      </c>
      <c r="O87" s="167"/>
      <c r="P87" s="164">
        <f t="shared" ref="P87:P112" si="102">O87*N87</f>
        <v>0</v>
      </c>
      <c r="Q87" s="160"/>
      <c r="R87" s="166"/>
      <c r="S87" s="167"/>
      <c r="T87" s="164">
        <f t="shared" ref="T87:T112" si="103">S87*Q87</f>
        <v>0</v>
      </c>
      <c r="U87" s="168"/>
      <c r="V87" s="164">
        <f t="shared" ref="V87:V112" si="104">H87*U87</f>
        <v>0</v>
      </c>
      <c r="W87" s="169">
        <f t="shared" ref="W87:W112" si="105">V87+T87+P87+K87</f>
        <v>0</v>
      </c>
      <c r="X87" s="158"/>
      <c r="Y87" s="170">
        <f>SUM(W87:W92)</f>
        <v>1473000</v>
      </c>
    </row>
    <row r="88" spans="1:29" ht="15.75" thickBot="1" x14ac:dyDescent="0.3">
      <c r="A88" s="81">
        <f t="shared" si="29"/>
        <v>81</v>
      </c>
      <c r="B88" s="199"/>
      <c r="C88" s="81" t="s">
        <v>248</v>
      </c>
      <c r="D88" s="188"/>
      <c r="E88" s="189"/>
      <c r="F88" s="190"/>
      <c r="G88" s="188"/>
      <c r="H88" s="189">
        <v>1</v>
      </c>
      <c r="I88" s="191" t="s">
        <v>110</v>
      </c>
      <c r="J88" s="188"/>
      <c r="K88" s="192">
        <f t="shared" si="100"/>
        <v>0</v>
      </c>
      <c r="L88" s="193"/>
      <c r="M88" s="188"/>
      <c r="N88" s="194">
        <f t="shared" si="101"/>
        <v>0</v>
      </c>
      <c r="O88" s="195"/>
      <c r="P88" s="192">
        <f t="shared" si="102"/>
        <v>0</v>
      </c>
      <c r="Q88" s="188"/>
      <c r="R88" s="194"/>
      <c r="S88" s="195"/>
      <c r="T88" s="192">
        <f t="shared" si="103"/>
        <v>0</v>
      </c>
      <c r="U88" s="196">
        <v>832000</v>
      </c>
      <c r="V88" s="192">
        <f t="shared" si="104"/>
        <v>832000</v>
      </c>
      <c r="W88" s="197">
        <f t="shared" si="105"/>
        <v>832000</v>
      </c>
      <c r="X88" s="81" t="s">
        <v>243</v>
      </c>
    </row>
    <row r="89" spans="1:29" ht="15.75" thickBot="1" x14ac:dyDescent="0.3">
      <c r="A89" s="81">
        <f t="shared" si="29"/>
        <v>82</v>
      </c>
      <c r="B89" s="81"/>
      <c r="C89" s="81" t="s">
        <v>249</v>
      </c>
      <c r="D89" s="188"/>
      <c r="E89" s="189"/>
      <c r="F89" s="190"/>
      <c r="G89" s="188"/>
      <c r="H89" s="189">
        <v>4</v>
      </c>
      <c r="I89" s="191" t="s">
        <v>110</v>
      </c>
      <c r="J89" s="188"/>
      <c r="K89" s="192">
        <f t="shared" si="100"/>
        <v>0</v>
      </c>
      <c r="L89" s="193"/>
      <c r="M89" s="188"/>
      <c r="N89" s="194">
        <f t="shared" si="101"/>
        <v>0</v>
      </c>
      <c r="O89" s="195"/>
      <c r="P89" s="192">
        <f t="shared" si="102"/>
        <v>0</v>
      </c>
      <c r="Q89" s="188"/>
      <c r="R89" s="194"/>
      <c r="S89" s="195"/>
      <c r="T89" s="192"/>
      <c r="U89" s="196">
        <v>25000</v>
      </c>
      <c r="V89" s="192">
        <f t="shared" si="104"/>
        <v>100000</v>
      </c>
      <c r="W89" s="197">
        <f t="shared" si="105"/>
        <v>100000</v>
      </c>
      <c r="X89" s="81" t="s">
        <v>243</v>
      </c>
    </row>
    <row r="90" spans="1:29" ht="15.75" thickBot="1" x14ac:dyDescent="0.3">
      <c r="A90" s="81">
        <f>A89+1</f>
        <v>83</v>
      </c>
      <c r="B90" s="81"/>
      <c r="C90" s="81" t="s">
        <v>240</v>
      </c>
      <c r="D90" s="188"/>
      <c r="E90" s="189"/>
      <c r="F90" s="190"/>
      <c r="G90" s="188"/>
      <c r="H90" s="189">
        <v>0</v>
      </c>
      <c r="I90" s="191" t="s">
        <v>134</v>
      </c>
      <c r="J90" s="188"/>
      <c r="K90" s="192">
        <f t="shared" si="100"/>
        <v>0</v>
      </c>
      <c r="L90" s="193"/>
      <c r="M90" s="188"/>
      <c r="N90" s="194">
        <f t="shared" ref="N90:N112" si="106">ROUND(L90*M90*H90,0)</f>
        <v>0</v>
      </c>
      <c r="O90" s="195"/>
      <c r="P90" s="192">
        <f t="shared" si="102"/>
        <v>0</v>
      </c>
      <c r="Q90" s="188"/>
      <c r="R90" s="194"/>
      <c r="S90" s="195"/>
      <c r="T90" s="192"/>
      <c r="U90" s="196">
        <v>15000</v>
      </c>
      <c r="V90" s="192">
        <f t="shared" si="104"/>
        <v>0</v>
      </c>
      <c r="W90" s="197">
        <f t="shared" si="105"/>
        <v>0</v>
      </c>
      <c r="X90" s="81"/>
    </row>
    <row r="91" spans="1:29" ht="15.75" thickBot="1" x14ac:dyDescent="0.3">
      <c r="A91" s="81">
        <f t="shared" si="29"/>
        <v>84</v>
      </c>
      <c r="B91" s="81"/>
      <c r="C91" s="81" t="s">
        <v>228</v>
      </c>
      <c r="D91" s="188"/>
      <c r="E91" s="189"/>
      <c r="F91" s="190"/>
      <c r="G91" s="188"/>
      <c r="H91" s="189">
        <v>1</v>
      </c>
      <c r="I91" s="191" t="s">
        <v>110</v>
      </c>
      <c r="J91" s="188"/>
      <c r="K91" s="192">
        <f t="shared" ref="K91" si="107">J91*H91</f>
        <v>0</v>
      </c>
      <c r="L91" s="193"/>
      <c r="M91" s="188"/>
      <c r="N91" s="194">
        <f t="shared" ref="N91" si="108">ROUND(L91*M91*H91,0)</f>
        <v>0</v>
      </c>
      <c r="O91" s="195"/>
      <c r="P91" s="192">
        <f t="shared" ref="P91" si="109">O91*N91</f>
        <v>0</v>
      </c>
      <c r="Q91" s="188"/>
      <c r="R91" s="194"/>
      <c r="S91" s="195"/>
      <c r="T91" s="192"/>
      <c r="U91" s="196">
        <v>500000</v>
      </c>
      <c r="V91" s="192">
        <f t="shared" ref="V91" si="110">H91*U91</f>
        <v>500000</v>
      </c>
      <c r="W91" s="197">
        <f t="shared" ref="W91" si="111">V91+T91+P91+K91</f>
        <v>500000</v>
      </c>
      <c r="X91" s="81" t="s">
        <v>236</v>
      </c>
    </row>
    <row r="92" spans="1:29" ht="15.75" thickBot="1" x14ac:dyDescent="0.3">
      <c r="A92" s="81">
        <f>A90+1</f>
        <v>84</v>
      </c>
      <c r="B92" s="81"/>
      <c r="C92" s="81" t="s">
        <v>204</v>
      </c>
      <c r="D92" s="188"/>
      <c r="E92" s="189"/>
      <c r="F92" s="190"/>
      <c r="G92" s="188"/>
      <c r="H92" s="189">
        <v>1</v>
      </c>
      <c r="I92" s="191" t="s">
        <v>134</v>
      </c>
      <c r="J92" s="188"/>
      <c r="K92" s="192">
        <f t="shared" ref="K92" si="112">J92*H92</f>
        <v>0</v>
      </c>
      <c r="L92" s="193"/>
      <c r="M92" s="188"/>
      <c r="N92" s="194">
        <f t="shared" ref="N92" si="113">ROUND(L92*M92*H92,0)</f>
        <v>0</v>
      </c>
      <c r="O92" s="195"/>
      <c r="P92" s="192">
        <f t="shared" ref="P92" si="114">O92*N92</f>
        <v>0</v>
      </c>
      <c r="Q92" s="188"/>
      <c r="R92" s="194"/>
      <c r="S92" s="195"/>
      <c r="T92" s="192">
        <f t="shared" ref="T92" si="115">S92*Q92</f>
        <v>0</v>
      </c>
      <c r="U92" s="196">
        <v>41000</v>
      </c>
      <c r="V92" s="192">
        <f t="shared" ref="V92" si="116">H92*U92</f>
        <v>41000</v>
      </c>
      <c r="W92" s="197">
        <f t="shared" ref="W92" si="117">V92+T92+P92+K92</f>
        <v>41000</v>
      </c>
      <c r="X92" s="81" t="s">
        <v>243</v>
      </c>
    </row>
    <row r="93" spans="1:29" ht="15.75" thickBot="1" x14ac:dyDescent="0.3">
      <c r="A93" s="158">
        <f>A89+1</f>
        <v>83</v>
      </c>
      <c r="B93" s="159" t="s">
        <v>162</v>
      </c>
      <c r="C93" s="158"/>
      <c r="D93" s="160"/>
      <c r="E93" s="161"/>
      <c r="F93" s="162"/>
      <c r="G93" s="160"/>
      <c r="H93" s="160"/>
      <c r="I93" s="163" t="s">
        <v>110</v>
      </c>
      <c r="J93" s="160"/>
      <c r="K93" s="164"/>
      <c r="L93" s="165"/>
      <c r="M93" s="160"/>
      <c r="N93" s="166"/>
      <c r="O93" s="167"/>
      <c r="P93" s="164">
        <f t="shared" si="102"/>
        <v>0</v>
      </c>
      <c r="Q93" s="160"/>
      <c r="R93" s="166"/>
      <c r="S93" s="167"/>
      <c r="T93" s="164">
        <f t="shared" si="103"/>
        <v>0</v>
      </c>
      <c r="U93" s="168">
        <v>0</v>
      </c>
      <c r="V93" s="164">
        <f t="shared" si="104"/>
        <v>0</v>
      </c>
      <c r="W93" s="169">
        <f t="shared" si="105"/>
        <v>0</v>
      </c>
      <c r="X93" s="158"/>
      <c r="Y93" s="170">
        <f>SUM(W93:W108)</f>
        <v>863000</v>
      </c>
    </row>
    <row r="94" spans="1:29" ht="15.75" thickBot="1" x14ac:dyDescent="0.3">
      <c r="A94" s="81">
        <f t="shared" si="29"/>
        <v>84</v>
      </c>
      <c r="B94" s="81"/>
      <c r="C94" s="81" t="s">
        <v>250</v>
      </c>
      <c r="D94" s="188"/>
      <c r="E94" s="189"/>
      <c r="F94" s="190"/>
      <c r="G94" s="188"/>
      <c r="H94" s="189">
        <v>1</v>
      </c>
      <c r="I94" s="191" t="s">
        <v>110</v>
      </c>
      <c r="J94" s="188"/>
      <c r="K94" s="192">
        <f t="shared" si="100"/>
        <v>0</v>
      </c>
      <c r="L94" s="193"/>
      <c r="M94" s="188"/>
      <c r="N94" s="194">
        <f t="shared" si="106"/>
        <v>0</v>
      </c>
      <c r="O94" s="195"/>
      <c r="P94" s="192">
        <f t="shared" si="102"/>
        <v>0</v>
      </c>
      <c r="Q94" s="188"/>
      <c r="R94" s="194"/>
      <c r="S94" s="195"/>
      <c r="T94" s="192">
        <f t="shared" si="103"/>
        <v>0</v>
      </c>
      <c r="U94" s="196">
        <v>63000</v>
      </c>
      <c r="V94" s="192">
        <f t="shared" ref="V94:V95" si="118">H94*U94</f>
        <v>63000</v>
      </c>
      <c r="W94" s="197">
        <f t="shared" ref="W94:W95" si="119">V94+T94+P94+K94</f>
        <v>63000</v>
      </c>
      <c r="X94" s="81"/>
      <c r="Y94" s="3"/>
      <c r="AA94" s="3"/>
      <c r="AB94" s="3"/>
      <c r="AC94" s="3"/>
    </row>
    <row r="95" spans="1:29" ht="15.75" thickBot="1" x14ac:dyDescent="0.3">
      <c r="A95" s="81">
        <f t="shared" si="29"/>
        <v>85</v>
      </c>
      <c r="B95" s="81"/>
      <c r="C95" s="81" t="s">
        <v>208</v>
      </c>
      <c r="D95" s="188"/>
      <c r="E95" s="189"/>
      <c r="F95" s="190"/>
      <c r="G95" s="188"/>
      <c r="H95" s="189">
        <v>1</v>
      </c>
      <c r="I95" s="191" t="s">
        <v>110</v>
      </c>
      <c r="J95" s="188"/>
      <c r="K95" s="192">
        <f t="shared" ref="K95" si="120">J95*H95</f>
        <v>0</v>
      </c>
      <c r="L95" s="193"/>
      <c r="M95" s="188"/>
      <c r="N95" s="194">
        <f t="shared" ref="N95" si="121">ROUND(L95*M95*H95,0)</f>
        <v>0</v>
      </c>
      <c r="O95" s="195"/>
      <c r="P95" s="192">
        <f t="shared" ref="P95" si="122">O95*N95</f>
        <v>0</v>
      </c>
      <c r="Q95" s="188"/>
      <c r="R95" s="194"/>
      <c r="S95" s="195"/>
      <c r="T95" s="192">
        <f t="shared" ref="T95" si="123">S95*Q95</f>
        <v>0</v>
      </c>
      <c r="U95" s="196">
        <v>800000</v>
      </c>
      <c r="V95" s="192">
        <f t="shared" si="118"/>
        <v>800000</v>
      </c>
      <c r="W95" s="197">
        <f t="shared" si="119"/>
        <v>800000</v>
      </c>
      <c r="X95" s="81" t="s">
        <v>127</v>
      </c>
      <c r="Y95" s="3"/>
      <c r="AA95" s="3"/>
      <c r="AB95" s="3"/>
      <c r="AC95" s="3"/>
    </row>
    <row r="96" spans="1:29" ht="15.75" hidden="1" thickBot="1" x14ac:dyDescent="0.3">
      <c r="A96" s="74">
        <f t="shared" si="29"/>
        <v>86</v>
      </c>
      <c r="B96" s="74"/>
      <c r="C96" s="74" t="s">
        <v>163</v>
      </c>
      <c r="D96" s="64"/>
      <c r="E96" s="65"/>
      <c r="F96" s="66"/>
      <c r="G96" s="64"/>
      <c r="H96" s="65"/>
      <c r="I96" s="67" t="s">
        <v>134</v>
      </c>
      <c r="J96" s="64"/>
      <c r="K96" s="68">
        <f t="shared" ref="K96:K97" si="124">J96*H96</f>
        <v>0</v>
      </c>
      <c r="L96" s="69"/>
      <c r="M96" s="64"/>
      <c r="N96" s="70">
        <f t="shared" ref="N96:N97" si="125">ROUND(L96*M96*H96,0)</f>
        <v>0</v>
      </c>
      <c r="O96" s="85"/>
      <c r="P96" s="68">
        <f t="shared" ref="P96:P97" si="126">O96*N96</f>
        <v>0</v>
      </c>
      <c r="Q96" s="64"/>
      <c r="R96" s="70"/>
      <c r="S96" s="85"/>
      <c r="T96" s="68">
        <f t="shared" ref="T96" si="127">S96*Q96</f>
        <v>0</v>
      </c>
      <c r="U96" s="82">
        <v>0</v>
      </c>
      <c r="V96" s="68">
        <f t="shared" ref="V96:V97" si="128">H96*U96</f>
        <v>0</v>
      </c>
      <c r="W96" s="73">
        <f t="shared" ref="W96:W97" si="129">V96+T96+P96+K96</f>
        <v>0</v>
      </c>
      <c r="X96" s="86"/>
      <c r="Y96" s="3"/>
      <c r="AA96" s="3"/>
      <c r="AB96" s="3"/>
      <c r="AC96" s="3"/>
    </row>
    <row r="97" spans="1:50" ht="15.75" hidden="1" thickBot="1" x14ac:dyDescent="0.3">
      <c r="A97" s="74">
        <f t="shared" si="29"/>
        <v>87</v>
      </c>
      <c r="B97" s="74"/>
      <c r="C97" s="74" t="s">
        <v>165</v>
      </c>
      <c r="D97" s="64"/>
      <c r="E97" s="65"/>
      <c r="F97" s="66"/>
      <c r="G97" s="64"/>
      <c r="H97" s="65"/>
      <c r="I97" s="67" t="s">
        <v>134</v>
      </c>
      <c r="J97" s="64"/>
      <c r="K97" s="68">
        <f t="shared" si="124"/>
        <v>0</v>
      </c>
      <c r="L97" s="69"/>
      <c r="M97" s="64"/>
      <c r="N97" s="70">
        <f t="shared" si="125"/>
        <v>0</v>
      </c>
      <c r="O97" s="85"/>
      <c r="P97" s="68">
        <f t="shared" si="126"/>
        <v>0</v>
      </c>
      <c r="Q97" s="64"/>
      <c r="R97" s="70"/>
      <c r="S97" s="85"/>
      <c r="T97" s="68"/>
      <c r="U97" s="82">
        <v>0</v>
      </c>
      <c r="V97" s="68">
        <f t="shared" si="128"/>
        <v>0</v>
      </c>
      <c r="W97" s="73">
        <f t="shared" si="129"/>
        <v>0</v>
      </c>
      <c r="X97" s="86"/>
      <c r="Y97" s="3"/>
      <c r="AA97" s="3"/>
      <c r="AB97" s="3"/>
      <c r="AC97" s="3"/>
    </row>
    <row r="98" spans="1:50" ht="15.75" thickBot="1" x14ac:dyDescent="0.3">
      <c r="A98" s="74">
        <f t="shared" si="29"/>
        <v>88</v>
      </c>
      <c r="B98" s="74"/>
      <c r="C98" s="74"/>
      <c r="D98" s="64"/>
      <c r="E98" s="65"/>
      <c r="F98" s="66"/>
      <c r="G98" s="64"/>
      <c r="H98" s="65"/>
      <c r="I98" s="67"/>
      <c r="J98" s="64"/>
      <c r="K98" s="68"/>
      <c r="L98" s="69"/>
      <c r="M98" s="64"/>
      <c r="N98" s="70"/>
      <c r="O98" s="85"/>
      <c r="P98" s="68"/>
      <c r="Q98" s="64"/>
      <c r="R98" s="70"/>
      <c r="S98" s="85"/>
      <c r="T98" s="68"/>
      <c r="U98" s="82"/>
      <c r="V98" s="68">
        <f t="shared" ref="V98" si="130">H98*U98</f>
        <v>0</v>
      </c>
      <c r="W98" s="73">
        <f t="shared" ref="W98" si="131">V98+T98+P98+K98</f>
        <v>0</v>
      </c>
      <c r="X98" s="86"/>
      <c r="Y98" s="3"/>
      <c r="AA98" s="3"/>
      <c r="AB98" s="3"/>
      <c r="AC98" s="3"/>
    </row>
    <row r="99" spans="1:50" ht="15.75" thickBot="1" x14ac:dyDescent="0.3">
      <c r="A99" s="74">
        <f t="shared" si="29"/>
        <v>89</v>
      </c>
      <c r="B99" s="74"/>
      <c r="C99" s="79"/>
      <c r="D99" s="64"/>
      <c r="E99" s="65"/>
      <c r="F99" s="66"/>
      <c r="G99" s="64"/>
      <c r="H99" s="65"/>
      <c r="I99" s="67"/>
      <c r="J99" s="64"/>
      <c r="K99" s="68"/>
      <c r="L99" s="69"/>
      <c r="M99" s="64"/>
      <c r="N99" s="70"/>
      <c r="O99" s="85"/>
      <c r="P99" s="68"/>
      <c r="Q99" s="64"/>
      <c r="R99" s="70"/>
      <c r="S99" s="85"/>
      <c r="T99" s="68"/>
      <c r="U99" s="82"/>
      <c r="V99" s="68">
        <f t="shared" si="104"/>
        <v>0</v>
      </c>
      <c r="W99" s="73">
        <f t="shared" si="105"/>
        <v>0</v>
      </c>
      <c r="X99" s="86"/>
      <c r="Y99" s="3"/>
      <c r="AA99" s="3"/>
      <c r="AB99" s="3"/>
      <c r="AC99" s="3"/>
    </row>
    <row r="100" spans="1:50" ht="14.1" hidden="1" customHeight="1" thickBot="1" x14ac:dyDescent="0.3">
      <c r="A100" s="81">
        <f t="shared" si="29"/>
        <v>90</v>
      </c>
      <c r="B100" s="81"/>
      <c r="C100" s="81"/>
      <c r="D100" s="188"/>
      <c r="E100" s="189"/>
      <c r="F100" s="190"/>
      <c r="G100" s="188"/>
      <c r="H100" s="189"/>
      <c r="I100" s="191"/>
      <c r="J100" s="188"/>
      <c r="K100" s="192"/>
      <c r="L100" s="193"/>
      <c r="M100" s="188"/>
      <c r="N100" s="194"/>
      <c r="O100" s="195"/>
      <c r="P100" s="192"/>
      <c r="Q100" s="188"/>
      <c r="R100" s="194"/>
      <c r="S100" s="195"/>
      <c r="T100" s="192"/>
      <c r="U100" s="196"/>
      <c r="V100" s="192">
        <f t="shared" si="104"/>
        <v>0</v>
      </c>
      <c r="W100" s="197">
        <f t="shared" si="105"/>
        <v>0</v>
      </c>
      <c r="X100" s="81" t="s">
        <v>164</v>
      </c>
      <c r="Y100" s="3"/>
      <c r="AA100" s="3"/>
    </row>
    <row r="101" spans="1:50" ht="15.75" thickBot="1" x14ac:dyDescent="0.3">
      <c r="A101" s="74">
        <f t="shared" si="29"/>
        <v>91</v>
      </c>
      <c r="B101" s="74"/>
      <c r="C101" s="74"/>
      <c r="D101" s="64"/>
      <c r="E101" s="65"/>
      <c r="F101" s="66"/>
      <c r="G101" s="64"/>
      <c r="H101" s="65"/>
      <c r="I101" s="67"/>
      <c r="J101" s="64"/>
      <c r="K101" s="68"/>
      <c r="L101" s="69"/>
      <c r="M101" s="64"/>
      <c r="N101" s="70"/>
      <c r="O101" s="85"/>
      <c r="P101" s="68"/>
      <c r="Q101" s="64"/>
      <c r="R101" s="70"/>
      <c r="S101" s="85"/>
      <c r="T101" s="68"/>
      <c r="U101" s="82"/>
      <c r="V101" s="68">
        <f t="shared" si="104"/>
        <v>0</v>
      </c>
      <c r="W101" s="73">
        <f t="shared" si="105"/>
        <v>0</v>
      </c>
      <c r="X101" s="74"/>
      <c r="Y101" s="3"/>
      <c r="AA101" s="3"/>
      <c r="AC101" s="148"/>
      <c r="AD101" s="127"/>
      <c r="AE101" s="127"/>
      <c r="AF101" s="127"/>
      <c r="AG101" s="127"/>
      <c r="AH101" s="127"/>
      <c r="AI101" s="144"/>
      <c r="AJ101" s="127"/>
      <c r="AK101" s="78"/>
      <c r="AL101" s="145"/>
      <c r="AM101" s="127"/>
      <c r="AN101" s="146"/>
      <c r="AO101" s="147"/>
      <c r="AP101" s="78"/>
      <c r="AQ101" s="127"/>
      <c r="AR101" s="146"/>
      <c r="AS101" s="147"/>
      <c r="AT101" s="78"/>
      <c r="AU101" s="147"/>
      <c r="AV101" s="78"/>
      <c r="AW101" s="78"/>
      <c r="AX101" s="149"/>
    </row>
    <row r="102" spans="1:50" ht="15.75" thickBot="1" x14ac:dyDescent="0.3">
      <c r="A102" s="74">
        <f t="shared" si="29"/>
        <v>92</v>
      </c>
      <c r="B102" s="74"/>
      <c r="C102" s="74"/>
      <c r="D102" s="64"/>
      <c r="E102" s="65"/>
      <c r="F102" s="66"/>
      <c r="G102" s="64"/>
      <c r="H102" s="65"/>
      <c r="I102" s="67"/>
      <c r="J102" s="64"/>
      <c r="K102" s="68"/>
      <c r="L102" s="69"/>
      <c r="M102" s="64"/>
      <c r="N102" s="70"/>
      <c r="O102" s="85"/>
      <c r="P102" s="68"/>
      <c r="Q102" s="64"/>
      <c r="R102" s="70"/>
      <c r="S102" s="85"/>
      <c r="T102" s="68"/>
      <c r="U102" s="82"/>
      <c r="V102" s="68">
        <f t="shared" si="104"/>
        <v>0</v>
      </c>
      <c r="W102" s="73">
        <f t="shared" si="105"/>
        <v>0</v>
      </c>
      <c r="X102" s="74"/>
      <c r="Y102" s="3"/>
      <c r="AA102" s="40"/>
      <c r="AB102" s="40"/>
      <c r="AC102" s="40"/>
      <c r="AD102" s="127"/>
      <c r="AE102" s="127"/>
      <c r="AF102" s="127"/>
      <c r="AG102" s="127"/>
      <c r="AH102" s="127"/>
      <c r="AI102" s="144"/>
      <c r="AJ102" s="127"/>
      <c r="AK102" s="78"/>
      <c r="AL102" s="145"/>
      <c r="AM102" s="127"/>
      <c r="AN102" s="146"/>
      <c r="AO102" s="147"/>
      <c r="AP102" s="78"/>
      <c r="AQ102" s="127"/>
      <c r="AR102" s="146"/>
      <c r="AS102" s="147"/>
      <c r="AT102" s="78"/>
      <c r="AU102" s="147"/>
      <c r="AV102" s="78"/>
      <c r="AW102" s="78"/>
    </row>
    <row r="103" spans="1:50" ht="15.75" thickBot="1" x14ac:dyDescent="0.3">
      <c r="A103" s="74">
        <f t="shared" si="29"/>
        <v>93</v>
      </c>
      <c r="B103" s="74"/>
      <c r="C103" s="74"/>
      <c r="D103" s="64"/>
      <c r="E103" s="65"/>
      <c r="F103" s="66"/>
      <c r="G103" s="64"/>
      <c r="H103" s="65"/>
      <c r="I103" s="67"/>
      <c r="J103" s="64"/>
      <c r="K103" s="68"/>
      <c r="L103" s="69"/>
      <c r="M103" s="64"/>
      <c r="N103" s="70"/>
      <c r="O103" s="85"/>
      <c r="P103" s="68"/>
      <c r="Q103" s="64"/>
      <c r="R103" s="70"/>
      <c r="S103" s="85"/>
      <c r="T103" s="68"/>
      <c r="U103" s="82"/>
      <c r="V103" s="68">
        <f t="shared" si="104"/>
        <v>0</v>
      </c>
      <c r="W103" s="73">
        <f t="shared" si="105"/>
        <v>0</v>
      </c>
      <c r="X103" s="74"/>
      <c r="Y103" s="3"/>
      <c r="AA103" s="40"/>
      <c r="AB103" s="40"/>
      <c r="AC103" s="40"/>
      <c r="AD103" s="127"/>
      <c r="AE103" s="127"/>
      <c r="AF103" s="127"/>
      <c r="AG103" s="127"/>
      <c r="AH103" s="127"/>
      <c r="AI103" s="144"/>
      <c r="AJ103" s="127"/>
      <c r="AK103" s="78"/>
      <c r="AL103" s="145"/>
      <c r="AM103" s="127"/>
      <c r="AN103" s="146"/>
      <c r="AO103" s="147"/>
      <c r="AP103" s="78"/>
      <c r="AQ103" s="127"/>
      <c r="AR103" s="146"/>
      <c r="AS103" s="147"/>
      <c r="AT103" s="78"/>
      <c r="AU103" s="147"/>
      <c r="AV103" s="78"/>
      <c r="AW103" s="78"/>
    </row>
    <row r="104" spans="1:50" ht="15.75" thickBot="1" x14ac:dyDescent="0.3">
      <c r="A104" s="74">
        <f t="shared" si="29"/>
        <v>94</v>
      </c>
      <c r="B104" s="74"/>
      <c r="C104" s="74"/>
      <c r="D104" s="64"/>
      <c r="E104" s="65"/>
      <c r="F104" s="66"/>
      <c r="G104" s="64"/>
      <c r="H104" s="65"/>
      <c r="I104" s="67"/>
      <c r="J104" s="64"/>
      <c r="K104" s="68"/>
      <c r="L104" s="69"/>
      <c r="M104" s="64"/>
      <c r="N104" s="70"/>
      <c r="O104" s="85"/>
      <c r="P104" s="68"/>
      <c r="Q104" s="64"/>
      <c r="R104" s="70"/>
      <c r="S104" s="85"/>
      <c r="T104" s="68"/>
      <c r="U104" s="82"/>
      <c r="V104" s="68">
        <f t="shared" ref="V104" si="132">H104*U104</f>
        <v>0</v>
      </c>
      <c r="W104" s="73">
        <f t="shared" ref="W104" si="133">V104+T104+P104+K104</f>
        <v>0</v>
      </c>
      <c r="X104" s="74"/>
      <c r="Y104" s="3"/>
      <c r="AA104" s="40"/>
      <c r="AB104" s="40"/>
      <c r="AC104" s="40"/>
      <c r="AD104" s="127"/>
      <c r="AE104" s="127"/>
      <c r="AF104" s="127"/>
      <c r="AG104" s="127"/>
      <c r="AH104" s="127"/>
      <c r="AI104" s="144"/>
      <c r="AJ104" s="127"/>
      <c r="AK104" s="78"/>
      <c r="AL104" s="145"/>
      <c r="AM104" s="127"/>
      <c r="AN104" s="146"/>
      <c r="AO104" s="147"/>
      <c r="AP104" s="78"/>
      <c r="AQ104" s="127"/>
      <c r="AR104" s="146"/>
      <c r="AS104" s="147"/>
      <c r="AT104" s="78"/>
      <c r="AU104" s="147"/>
      <c r="AV104" s="78"/>
      <c r="AW104" s="78"/>
    </row>
    <row r="105" spans="1:50" ht="15.75" thickBot="1" x14ac:dyDescent="0.3">
      <c r="A105" s="74">
        <f t="shared" si="29"/>
        <v>95</v>
      </c>
      <c r="B105" s="74"/>
      <c r="C105" s="74"/>
      <c r="D105" s="64"/>
      <c r="E105" s="65"/>
      <c r="F105" s="66"/>
      <c r="G105" s="64"/>
      <c r="H105" s="65"/>
      <c r="I105" s="67"/>
      <c r="J105" s="64"/>
      <c r="K105" s="68"/>
      <c r="L105" s="69"/>
      <c r="M105" s="64"/>
      <c r="N105" s="70"/>
      <c r="O105" s="85"/>
      <c r="P105" s="68"/>
      <c r="Q105" s="64"/>
      <c r="R105" s="70"/>
      <c r="S105" s="85"/>
      <c r="T105" s="68"/>
      <c r="U105" s="82"/>
      <c r="V105" s="68">
        <f t="shared" si="104"/>
        <v>0</v>
      </c>
      <c r="W105" s="73">
        <f t="shared" si="105"/>
        <v>0</v>
      </c>
      <c r="X105" s="74"/>
      <c r="Y105" s="3"/>
    </row>
    <row r="106" spans="1:50" ht="15.75" thickBot="1" x14ac:dyDescent="0.3">
      <c r="A106" s="74">
        <f t="shared" si="29"/>
        <v>96</v>
      </c>
      <c r="B106" s="74"/>
      <c r="C106" s="74"/>
      <c r="D106" s="64"/>
      <c r="E106" s="65"/>
      <c r="F106" s="66"/>
      <c r="G106" s="64"/>
      <c r="H106" s="65"/>
      <c r="I106" s="67"/>
      <c r="J106" s="64"/>
      <c r="K106" s="68"/>
      <c r="L106" s="69"/>
      <c r="M106" s="64"/>
      <c r="N106" s="70"/>
      <c r="O106" s="85"/>
      <c r="P106" s="68"/>
      <c r="Q106" s="64"/>
      <c r="R106" s="70"/>
      <c r="S106" s="85"/>
      <c r="T106" s="68"/>
      <c r="U106" s="82"/>
      <c r="V106" s="68">
        <f t="shared" ref="V106" si="134">H106*U106</f>
        <v>0</v>
      </c>
      <c r="W106" s="73">
        <f t="shared" ref="W106" si="135">V106+T106+P106+K106</f>
        <v>0</v>
      </c>
      <c r="X106" s="74"/>
      <c r="Y106" s="3"/>
    </row>
    <row r="107" spans="1:50" ht="15.75" thickBot="1" x14ac:dyDescent="0.3">
      <c r="A107" s="74">
        <f t="shared" si="29"/>
        <v>97</v>
      </c>
      <c r="B107" s="74"/>
      <c r="C107" s="74"/>
      <c r="D107" s="64"/>
      <c r="E107" s="65"/>
      <c r="F107" s="66"/>
      <c r="G107" s="64"/>
      <c r="H107" s="65"/>
      <c r="I107" s="67"/>
      <c r="J107" s="64"/>
      <c r="K107" s="68"/>
      <c r="L107" s="69"/>
      <c r="M107" s="64"/>
      <c r="N107" s="70"/>
      <c r="O107" s="85"/>
      <c r="P107" s="68"/>
      <c r="Q107" s="64"/>
      <c r="R107" s="70"/>
      <c r="S107" s="85"/>
      <c r="T107" s="68"/>
      <c r="U107" s="82"/>
      <c r="V107" s="68">
        <f t="shared" ref="V107" si="136">H107*U107</f>
        <v>0</v>
      </c>
      <c r="W107" s="73">
        <f t="shared" ref="W107" si="137">V107+T107+P107+K107</f>
        <v>0</v>
      </c>
      <c r="X107" s="74"/>
      <c r="Y107" s="40"/>
    </row>
    <row r="108" spans="1:50" ht="15.75" thickBot="1" x14ac:dyDescent="0.3">
      <c r="A108" s="74">
        <f t="shared" si="29"/>
        <v>98</v>
      </c>
      <c r="B108" s="74"/>
      <c r="C108" s="74"/>
      <c r="D108" s="64"/>
      <c r="E108" s="65"/>
      <c r="F108" s="66"/>
      <c r="G108" s="64"/>
      <c r="H108" s="65"/>
      <c r="I108" s="67"/>
      <c r="J108" s="64"/>
      <c r="K108" s="68"/>
      <c r="L108" s="69"/>
      <c r="M108" s="64"/>
      <c r="N108" s="70"/>
      <c r="O108" s="85"/>
      <c r="P108" s="68"/>
      <c r="Q108" s="64"/>
      <c r="R108" s="70"/>
      <c r="S108" s="85"/>
      <c r="T108" s="68"/>
      <c r="U108" s="82"/>
      <c r="V108" s="68">
        <f t="shared" si="104"/>
        <v>0</v>
      </c>
      <c r="W108" s="73">
        <f t="shared" si="105"/>
        <v>0</v>
      </c>
      <c r="X108" s="74"/>
    </row>
    <row r="109" spans="1:50" ht="15.75" thickBot="1" x14ac:dyDescent="0.3">
      <c r="A109" s="158">
        <f t="shared" si="29"/>
        <v>99</v>
      </c>
      <c r="B109" s="159" t="s">
        <v>166</v>
      </c>
      <c r="C109" s="158"/>
      <c r="D109" s="160"/>
      <c r="E109" s="161"/>
      <c r="F109" s="162"/>
      <c r="G109" s="160"/>
      <c r="H109" s="161"/>
      <c r="I109" s="163"/>
      <c r="J109" s="160"/>
      <c r="K109" s="164">
        <f t="shared" si="100"/>
        <v>0</v>
      </c>
      <c r="L109" s="165"/>
      <c r="M109" s="160"/>
      <c r="N109" s="166">
        <f t="shared" si="106"/>
        <v>0</v>
      </c>
      <c r="O109" s="167"/>
      <c r="P109" s="164">
        <f t="shared" si="102"/>
        <v>0</v>
      </c>
      <c r="Q109" s="160"/>
      <c r="R109" s="166"/>
      <c r="S109" s="167"/>
      <c r="T109" s="164">
        <f t="shared" si="103"/>
        <v>0</v>
      </c>
      <c r="U109" s="168"/>
      <c r="V109" s="164">
        <f t="shared" si="104"/>
        <v>0</v>
      </c>
      <c r="W109" s="169">
        <f t="shared" si="105"/>
        <v>0</v>
      </c>
      <c r="X109" s="158"/>
      <c r="Y109" s="173"/>
    </row>
    <row r="110" spans="1:50" ht="15.75" hidden="1" thickBot="1" x14ac:dyDescent="0.3">
      <c r="A110" s="74">
        <f t="shared" si="29"/>
        <v>100</v>
      </c>
      <c r="B110" s="74"/>
      <c r="C110" s="74" t="s">
        <v>168</v>
      </c>
      <c r="D110" s="64"/>
      <c r="E110" s="65"/>
      <c r="F110" s="66"/>
      <c r="G110" s="64"/>
      <c r="H110" s="65"/>
      <c r="I110" s="67"/>
      <c r="J110" s="64"/>
      <c r="K110" s="68">
        <f t="shared" si="100"/>
        <v>0</v>
      </c>
      <c r="L110" s="69"/>
      <c r="M110" s="64"/>
      <c r="N110" s="70">
        <f t="shared" si="106"/>
        <v>0</v>
      </c>
      <c r="O110" s="71"/>
      <c r="P110" s="68">
        <f t="shared" si="102"/>
        <v>0</v>
      </c>
      <c r="Q110" s="64"/>
      <c r="R110" s="70"/>
      <c r="S110" s="71"/>
      <c r="T110" s="68">
        <f t="shared" si="103"/>
        <v>0</v>
      </c>
      <c r="U110" s="72"/>
      <c r="V110" s="68">
        <f t="shared" si="104"/>
        <v>0</v>
      </c>
      <c r="W110" s="73">
        <f t="shared" si="105"/>
        <v>0</v>
      </c>
      <c r="X110" s="74"/>
    </row>
    <row r="111" spans="1:50" ht="15.75" thickBot="1" x14ac:dyDescent="0.3">
      <c r="A111" s="158">
        <f t="shared" si="29"/>
        <v>101</v>
      </c>
      <c r="B111" s="159" t="s">
        <v>169</v>
      </c>
      <c r="C111" s="158"/>
      <c r="D111" s="160"/>
      <c r="E111" s="161"/>
      <c r="F111" s="162"/>
      <c r="G111" s="160"/>
      <c r="H111" s="161"/>
      <c r="I111" s="163"/>
      <c r="J111" s="160"/>
      <c r="K111" s="164">
        <f t="shared" si="100"/>
        <v>0</v>
      </c>
      <c r="L111" s="165"/>
      <c r="M111" s="160"/>
      <c r="N111" s="166">
        <f t="shared" si="106"/>
        <v>0</v>
      </c>
      <c r="O111" s="167"/>
      <c r="P111" s="164">
        <f t="shared" si="102"/>
        <v>0</v>
      </c>
      <c r="Q111" s="160"/>
      <c r="R111" s="166"/>
      <c r="S111" s="167"/>
      <c r="T111" s="164">
        <f t="shared" si="103"/>
        <v>0</v>
      </c>
      <c r="U111" s="168"/>
      <c r="V111" s="164">
        <f t="shared" si="104"/>
        <v>0</v>
      </c>
      <c r="W111" s="169">
        <f t="shared" si="105"/>
        <v>0</v>
      </c>
      <c r="X111" s="158"/>
      <c r="Y111" s="170">
        <f>SUM(W111:W112)</f>
        <v>0</v>
      </c>
    </row>
    <row r="112" spans="1:50" ht="15.75" hidden="1" thickBot="1" x14ac:dyDescent="0.3">
      <c r="A112" s="74">
        <f t="shared" si="29"/>
        <v>102</v>
      </c>
      <c r="B112" s="74"/>
      <c r="C112" s="74" t="s">
        <v>170</v>
      </c>
      <c r="D112" s="64"/>
      <c r="E112" s="65"/>
      <c r="F112" s="66"/>
      <c r="G112" s="64"/>
      <c r="H112" s="65"/>
      <c r="I112" s="67" t="s">
        <v>110</v>
      </c>
      <c r="J112" s="64"/>
      <c r="K112" s="68">
        <f t="shared" si="100"/>
        <v>0</v>
      </c>
      <c r="L112" s="69"/>
      <c r="M112" s="64"/>
      <c r="N112" s="70">
        <f t="shared" si="106"/>
        <v>0</v>
      </c>
      <c r="O112" s="71"/>
      <c r="P112" s="68">
        <f t="shared" si="102"/>
        <v>0</v>
      </c>
      <c r="Q112" s="64"/>
      <c r="R112" s="70"/>
      <c r="S112" s="71"/>
      <c r="T112" s="68">
        <f t="shared" si="103"/>
        <v>0</v>
      </c>
      <c r="U112" s="72">
        <v>5000</v>
      </c>
      <c r="V112" s="68">
        <f t="shared" si="104"/>
        <v>0</v>
      </c>
      <c r="W112" s="73">
        <f t="shared" si="105"/>
        <v>0</v>
      </c>
      <c r="X112" s="74"/>
    </row>
    <row r="113" spans="1:26" ht="15.75" thickBot="1" x14ac:dyDescent="0.3">
      <c r="A113" s="158">
        <f t="shared" si="29"/>
        <v>103</v>
      </c>
      <c r="B113" s="159" t="s">
        <v>171</v>
      </c>
      <c r="C113" s="158"/>
      <c r="D113" s="160"/>
      <c r="E113" s="161"/>
      <c r="F113" s="162"/>
      <c r="G113" s="160"/>
      <c r="H113" s="161"/>
      <c r="I113" s="163" t="s">
        <v>110</v>
      </c>
      <c r="J113" s="160"/>
      <c r="K113" s="164">
        <f t="shared" ref="K113:K135" si="138">J113*H113</f>
        <v>0</v>
      </c>
      <c r="L113" s="165"/>
      <c r="M113" s="160"/>
      <c r="N113" s="166">
        <f t="shared" ref="N113:N132" si="139">ROUND(L113*M113*H113,0)</f>
        <v>0</v>
      </c>
      <c r="O113" s="167"/>
      <c r="P113" s="164">
        <f t="shared" ref="P113:P135" si="140">O113*N113</f>
        <v>0</v>
      </c>
      <c r="Q113" s="160"/>
      <c r="R113" s="166"/>
      <c r="S113" s="167"/>
      <c r="T113" s="164">
        <f t="shared" ref="T113:T135" si="141">S113*Q113</f>
        <v>0</v>
      </c>
      <c r="U113" s="168"/>
      <c r="V113" s="164">
        <f t="shared" ref="V113:V135" si="142">H113*U113</f>
        <v>0</v>
      </c>
      <c r="W113" s="169">
        <f t="shared" ref="W113:W135" si="143">V113+T113+P113+K113</f>
        <v>0</v>
      </c>
      <c r="X113" s="158"/>
      <c r="Y113" s="170">
        <f>SUM(W113:W122)</f>
        <v>0</v>
      </c>
    </row>
    <row r="114" spans="1:26" ht="15.75" hidden="1" thickBot="1" x14ac:dyDescent="0.3">
      <c r="A114" s="74">
        <f t="shared" si="29"/>
        <v>104</v>
      </c>
      <c r="B114" s="74"/>
      <c r="C114" s="74" t="s">
        <v>172</v>
      </c>
      <c r="D114" s="64"/>
      <c r="E114" s="65"/>
      <c r="F114" s="66"/>
      <c r="G114" s="64"/>
      <c r="H114" s="65">
        <v>0</v>
      </c>
      <c r="I114" s="67" t="s">
        <v>110</v>
      </c>
      <c r="J114" s="64">
        <v>0</v>
      </c>
      <c r="K114" s="68">
        <f>J114*H114</f>
        <v>0</v>
      </c>
      <c r="L114" s="69"/>
      <c r="M114" s="64"/>
      <c r="N114" s="70">
        <f t="shared" si="139"/>
        <v>0</v>
      </c>
      <c r="O114" s="85"/>
      <c r="P114" s="68">
        <f t="shared" si="140"/>
        <v>0</v>
      </c>
      <c r="Q114" s="64"/>
      <c r="R114" s="70"/>
      <c r="S114" s="85"/>
      <c r="T114" s="68">
        <f t="shared" si="141"/>
        <v>0</v>
      </c>
      <c r="U114" s="82">
        <v>75000</v>
      </c>
      <c r="V114" s="68">
        <f t="shared" si="142"/>
        <v>0</v>
      </c>
      <c r="W114" s="73">
        <f t="shared" si="143"/>
        <v>0</v>
      </c>
      <c r="X114" s="74" t="s">
        <v>127</v>
      </c>
    </row>
    <row r="115" spans="1:26" ht="15.75" hidden="1" thickBot="1" x14ac:dyDescent="0.3">
      <c r="A115" s="74">
        <f>A114+1</f>
        <v>105</v>
      </c>
      <c r="B115" s="74"/>
      <c r="C115" s="74" t="s">
        <v>173</v>
      </c>
      <c r="D115" s="64"/>
      <c r="E115" s="65"/>
      <c r="F115" s="66"/>
      <c r="G115" s="64"/>
      <c r="H115" s="65">
        <v>0</v>
      </c>
      <c r="I115" s="67" t="s">
        <v>110</v>
      </c>
      <c r="J115" s="64"/>
      <c r="K115" s="68">
        <f t="shared" ref="K115:K133" si="144">J115*H115</f>
        <v>0</v>
      </c>
      <c r="L115" s="69"/>
      <c r="M115" s="64"/>
      <c r="N115" s="70">
        <f t="shared" si="139"/>
        <v>0</v>
      </c>
      <c r="O115" s="85"/>
      <c r="P115" s="68">
        <f t="shared" si="140"/>
        <v>0</v>
      </c>
      <c r="Q115" s="64"/>
      <c r="R115" s="70"/>
      <c r="S115" s="85"/>
      <c r="T115" s="68">
        <f t="shared" si="141"/>
        <v>0</v>
      </c>
      <c r="U115" s="82">
        <v>2000</v>
      </c>
      <c r="V115" s="68">
        <f t="shared" ref="V115:V133" si="145">H115*U115</f>
        <v>0</v>
      </c>
      <c r="W115" s="73">
        <f t="shared" ref="W115:W133" si="146">V115+T115+P115+K115</f>
        <v>0</v>
      </c>
      <c r="X115" s="74" t="s">
        <v>127</v>
      </c>
      <c r="Y115" s="78"/>
    </row>
    <row r="116" spans="1:26" ht="15.75" hidden="1" thickBot="1" x14ac:dyDescent="0.3">
      <c r="A116" s="74">
        <f t="shared" si="29"/>
        <v>106</v>
      </c>
      <c r="B116" s="74"/>
      <c r="C116" s="79" t="s">
        <v>174</v>
      </c>
      <c r="D116" s="64"/>
      <c r="E116" s="65"/>
      <c r="F116" s="66"/>
      <c r="G116" s="64"/>
      <c r="H116" s="65">
        <v>0</v>
      </c>
      <c r="I116" s="67" t="s">
        <v>175</v>
      </c>
      <c r="J116" s="64"/>
      <c r="K116" s="68">
        <f t="shared" si="144"/>
        <v>0</v>
      </c>
      <c r="L116" s="69"/>
      <c r="M116" s="64"/>
      <c r="N116" s="70">
        <f t="shared" si="139"/>
        <v>0</v>
      </c>
      <c r="O116" s="85"/>
      <c r="P116" s="68">
        <f t="shared" si="140"/>
        <v>0</v>
      </c>
      <c r="Q116" s="64"/>
      <c r="R116" s="70"/>
      <c r="S116" s="85"/>
      <c r="T116" s="68">
        <f t="shared" si="141"/>
        <v>0</v>
      </c>
      <c r="U116" s="82">
        <v>160</v>
      </c>
      <c r="V116" s="68">
        <f t="shared" si="145"/>
        <v>0</v>
      </c>
      <c r="W116" s="73">
        <f t="shared" si="146"/>
        <v>0</v>
      </c>
      <c r="X116" s="74" t="s">
        <v>127</v>
      </c>
      <c r="Y116" s="78"/>
    </row>
    <row r="117" spans="1:26" ht="15.75" hidden="1" thickBot="1" x14ac:dyDescent="0.3">
      <c r="A117" s="74">
        <f t="shared" si="29"/>
        <v>107</v>
      </c>
      <c r="B117" s="74"/>
      <c r="C117" s="74" t="s">
        <v>176</v>
      </c>
      <c r="D117" s="64"/>
      <c r="E117" s="65"/>
      <c r="F117" s="66"/>
      <c r="G117" s="64"/>
      <c r="H117" s="65">
        <v>0</v>
      </c>
      <c r="I117" s="67" t="s">
        <v>110</v>
      </c>
      <c r="J117" s="64"/>
      <c r="K117" s="68">
        <f t="shared" si="144"/>
        <v>0</v>
      </c>
      <c r="L117" s="69"/>
      <c r="M117" s="64"/>
      <c r="N117" s="70">
        <f t="shared" si="139"/>
        <v>0</v>
      </c>
      <c r="O117" s="85"/>
      <c r="P117" s="68">
        <f t="shared" si="140"/>
        <v>0</v>
      </c>
      <c r="Q117" s="64"/>
      <c r="R117" s="70"/>
      <c r="S117" s="85"/>
      <c r="T117" s="68">
        <f t="shared" si="141"/>
        <v>0</v>
      </c>
      <c r="U117" s="82">
        <v>5000</v>
      </c>
      <c r="V117" s="68">
        <f t="shared" si="145"/>
        <v>0</v>
      </c>
      <c r="W117" s="73">
        <f t="shared" si="146"/>
        <v>0</v>
      </c>
      <c r="X117" s="74" t="s">
        <v>127</v>
      </c>
      <c r="Y117" s="78"/>
    </row>
    <row r="118" spans="1:26" ht="15.75" hidden="1" thickBot="1" x14ac:dyDescent="0.3">
      <c r="A118" s="74">
        <f t="shared" si="29"/>
        <v>108</v>
      </c>
      <c r="B118" s="74"/>
      <c r="C118" s="74" t="s">
        <v>177</v>
      </c>
      <c r="D118" s="64"/>
      <c r="E118" s="65"/>
      <c r="F118" s="66"/>
      <c r="G118" s="64"/>
      <c r="H118" s="65">
        <v>0</v>
      </c>
      <c r="I118" s="67" t="s">
        <v>178</v>
      </c>
      <c r="J118" s="64"/>
      <c r="K118" s="68">
        <f t="shared" si="144"/>
        <v>0</v>
      </c>
      <c r="L118" s="69"/>
      <c r="M118" s="64"/>
      <c r="N118" s="70">
        <f t="shared" si="139"/>
        <v>0</v>
      </c>
      <c r="O118" s="85"/>
      <c r="P118" s="68">
        <f t="shared" si="140"/>
        <v>0</v>
      </c>
      <c r="Q118" s="64"/>
      <c r="R118" s="70"/>
      <c r="S118" s="85"/>
      <c r="T118" s="68">
        <f t="shared" si="141"/>
        <v>0</v>
      </c>
      <c r="U118" s="82">
        <v>75</v>
      </c>
      <c r="V118" s="68">
        <f t="shared" si="145"/>
        <v>0</v>
      </c>
      <c r="W118" s="73">
        <f t="shared" si="146"/>
        <v>0</v>
      </c>
      <c r="X118" s="74" t="s">
        <v>127</v>
      </c>
    </row>
    <row r="119" spans="1:26" s="80" customFormat="1" ht="15.75" hidden="1" thickBot="1" x14ac:dyDescent="0.3">
      <c r="A119" s="74">
        <f t="shared" ref="A119:A126" si="147">A118+1</f>
        <v>109</v>
      </c>
      <c r="B119" s="74"/>
      <c r="C119" s="74" t="s">
        <v>179</v>
      </c>
      <c r="D119" s="64"/>
      <c r="E119" s="65"/>
      <c r="F119" s="66"/>
      <c r="G119" s="64"/>
      <c r="H119" s="65">
        <v>0</v>
      </c>
      <c r="I119" s="67" t="s">
        <v>78</v>
      </c>
      <c r="J119" s="64">
        <v>0</v>
      </c>
      <c r="K119" s="68">
        <f t="shared" si="144"/>
        <v>0</v>
      </c>
      <c r="L119" s="69"/>
      <c r="M119" s="64"/>
      <c r="N119" s="70">
        <f t="shared" si="139"/>
        <v>0</v>
      </c>
      <c r="O119" s="85"/>
      <c r="P119" s="68">
        <f t="shared" si="140"/>
        <v>0</v>
      </c>
      <c r="Q119" s="64"/>
      <c r="R119" s="70"/>
      <c r="S119" s="85"/>
      <c r="T119" s="68">
        <f t="shared" si="141"/>
        <v>0</v>
      </c>
      <c r="U119" s="82">
        <v>1070</v>
      </c>
      <c r="V119" s="68">
        <f t="shared" si="145"/>
        <v>0</v>
      </c>
      <c r="W119" s="73">
        <f t="shared" si="146"/>
        <v>0</v>
      </c>
      <c r="X119" s="74" t="s">
        <v>127</v>
      </c>
      <c r="Y119"/>
      <c r="Z119"/>
    </row>
    <row r="120" spans="1:26" ht="15.75" hidden="1" thickBot="1" x14ac:dyDescent="0.3">
      <c r="A120" s="74">
        <f t="shared" si="147"/>
        <v>110</v>
      </c>
      <c r="B120" s="74"/>
      <c r="C120" s="74" t="s">
        <v>180</v>
      </c>
      <c r="D120" s="64"/>
      <c r="E120" s="65"/>
      <c r="F120" s="66"/>
      <c r="G120" s="64"/>
      <c r="H120" s="65">
        <v>0</v>
      </c>
      <c r="I120" s="67" t="s">
        <v>178</v>
      </c>
      <c r="J120" s="64">
        <v>0</v>
      </c>
      <c r="K120" s="68">
        <f t="shared" si="144"/>
        <v>0</v>
      </c>
      <c r="L120" s="69"/>
      <c r="M120" s="64"/>
      <c r="N120" s="70">
        <f t="shared" si="139"/>
        <v>0</v>
      </c>
      <c r="O120" s="85"/>
      <c r="P120" s="68">
        <f t="shared" si="140"/>
        <v>0</v>
      </c>
      <c r="Q120" s="64"/>
      <c r="R120" s="70"/>
      <c r="S120" s="85"/>
      <c r="T120" s="68">
        <f t="shared" si="141"/>
        <v>0</v>
      </c>
      <c r="U120" s="82">
        <v>75</v>
      </c>
      <c r="V120" s="68">
        <f t="shared" si="145"/>
        <v>0</v>
      </c>
      <c r="W120" s="73">
        <f t="shared" si="146"/>
        <v>0</v>
      </c>
      <c r="X120" s="74" t="s">
        <v>127</v>
      </c>
    </row>
    <row r="121" spans="1:26" ht="15.75" hidden="1" thickBot="1" x14ac:dyDescent="0.3">
      <c r="A121" s="74">
        <f t="shared" si="147"/>
        <v>111</v>
      </c>
      <c r="B121" s="74"/>
      <c r="C121" s="74" t="s">
        <v>181</v>
      </c>
      <c r="D121" s="64"/>
      <c r="E121" s="65"/>
      <c r="F121" s="66"/>
      <c r="G121" s="64"/>
      <c r="H121" s="65">
        <v>0</v>
      </c>
      <c r="I121" s="67" t="s">
        <v>143</v>
      </c>
      <c r="J121" s="64"/>
      <c r="K121" s="68">
        <f t="shared" si="144"/>
        <v>0</v>
      </c>
      <c r="L121" s="69"/>
      <c r="M121" s="64"/>
      <c r="N121" s="70">
        <f t="shared" si="139"/>
        <v>0</v>
      </c>
      <c r="O121" s="85"/>
      <c r="P121" s="68">
        <f t="shared" si="140"/>
        <v>0</v>
      </c>
      <c r="Q121" s="64"/>
      <c r="R121" s="70"/>
      <c r="S121" s="85"/>
      <c r="T121" s="68">
        <f t="shared" si="141"/>
        <v>0</v>
      </c>
      <c r="U121" s="82">
        <v>10</v>
      </c>
      <c r="V121" s="68">
        <f t="shared" si="145"/>
        <v>0</v>
      </c>
      <c r="W121" s="73">
        <f t="shared" si="146"/>
        <v>0</v>
      </c>
      <c r="X121" s="74" t="s">
        <v>127</v>
      </c>
    </row>
    <row r="122" spans="1:26" ht="15.75" hidden="1" thickBot="1" x14ac:dyDescent="0.3">
      <c r="A122" s="74">
        <f t="shared" si="147"/>
        <v>112</v>
      </c>
      <c r="B122" s="74"/>
      <c r="C122" s="74"/>
      <c r="D122" s="64"/>
      <c r="E122" s="65"/>
      <c r="F122" s="66"/>
      <c r="G122" s="64"/>
      <c r="H122" s="65"/>
      <c r="I122" s="67"/>
      <c r="J122" s="64"/>
      <c r="K122" s="68">
        <f t="shared" si="144"/>
        <v>0</v>
      </c>
      <c r="L122" s="69"/>
      <c r="M122" s="64"/>
      <c r="N122" s="70">
        <f t="shared" si="139"/>
        <v>0</v>
      </c>
      <c r="O122" s="71"/>
      <c r="P122" s="68">
        <f t="shared" si="140"/>
        <v>0</v>
      </c>
      <c r="Q122" s="64"/>
      <c r="R122" s="70"/>
      <c r="S122" s="71"/>
      <c r="T122" s="68">
        <f t="shared" si="141"/>
        <v>0</v>
      </c>
      <c r="U122" s="72"/>
      <c r="V122" s="68">
        <f t="shared" si="145"/>
        <v>0</v>
      </c>
      <c r="W122" s="73">
        <f t="shared" si="146"/>
        <v>0</v>
      </c>
      <c r="X122" s="74"/>
    </row>
    <row r="123" spans="1:26" s="80" customFormat="1" ht="15.75" thickBot="1" x14ac:dyDescent="0.3">
      <c r="A123" s="158">
        <f t="shared" si="147"/>
        <v>113</v>
      </c>
      <c r="B123" s="176" t="s">
        <v>182</v>
      </c>
      <c r="C123" s="158"/>
      <c r="D123" s="160" t="s">
        <v>242</v>
      </c>
      <c r="E123" s="161"/>
      <c r="F123" s="162"/>
      <c r="G123" s="160"/>
      <c r="H123" s="161"/>
      <c r="I123" s="163"/>
      <c r="J123" s="160"/>
      <c r="K123" s="164">
        <f t="shared" si="144"/>
        <v>0</v>
      </c>
      <c r="L123" s="165"/>
      <c r="M123" s="160"/>
      <c r="N123" s="166">
        <f t="shared" si="139"/>
        <v>0</v>
      </c>
      <c r="O123" s="167"/>
      <c r="P123" s="164">
        <f t="shared" si="140"/>
        <v>0</v>
      </c>
      <c r="Q123" s="160"/>
      <c r="R123" s="166"/>
      <c r="S123" s="167"/>
      <c r="T123" s="164">
        <f t="shared" si="141"/>
        <v>0</v>
      </c>
      <c r="U123" s="168"/>
      <c r="V123" s="164">
        <f t="shared" si="145"/>
        <v>0</v>
      </c>
      <c r="W123" s="169">
        <f t="shared" si="146"/>
        <v>0</v>
      </c>
      <c r="X123" s="158"/>
      <c r="Y123" s="170">
        <f>SUM(W123:W131)</f>
        <v>0</v>
      </c>
      <c r="Z123"/>
    </row>
    <row r="124" spans="1:26" ht="15.75" hidden="1" thickBot="1" x14ac:dyDescent="0.3">
      <c r="A124" s="74">
        <f t="shared" si="147"/>
        <v>114</v>
      </c>
      <c r="B124" s="74"/>
      <c r="C124" s="74" t="s">
        <v>183</v>
      </c>
      <c r="D124" s="64"/>
      <c r="E124" s="65"/>
      <c r="F124" s="66"/>
      <c r="G124" s="64"/>
      <c r="H124" s="65"/>
      <c r="I124" s="67" t="s">
        <v>78</v>
      </c>
      <c r="J124" s="64">
        <v>0</v>
      </c>
      <c r="K124" s="68">
        <f t="shared" si="144"/>
        <v>0</v>
      </c>
      <c r="L124" s="69"/>
      <c r="M124" s="64"/>
      <c r="N124" s="70">
        <f t="shared" si="139"/>
        <v>0</v>
      </c>
      <c r="O124" s="85"/>
      <c r="P124" s="68">
        <f t="shared" si="140"/>
        <v>0</v>
      </c>
      <c r="Q124" s="64"/>
      <c r="R124" s="70"/>
      <c r="S124" s="85"/>
      <c r="T124" s="68">
        <f t="shared" si="141"/>
        <v>0</v>
      </c>
      <c r="U124" s="82">
        <v>10000</v>
      </c>
      <c r="V124" s="68">
        <f t="shared" si="145"/>
        <v>0</v>
      </c>
      <c r="W124" s="73">
        <f t="shared" si="146"/>
        <v>0</v>
      </c>
      <c r="X124" s="74"/>
    </row>
    <row r="125" spans="1:26" ht="15.75" hidden="1" thickBot="1" x14ac:dyDescent="0.3">
      <c r="A125" s="74">
        <f t="shared" si="147"/>
        <v>115</v>
      </c>
      <c r="B125" s="74"/>
      <c r="C125" s="74" t="s">
        <v>184</v>
      </c>
      <c r="D125" s="64"/>
      <c r="E125" s="65"/>
      <c r="F125" s="66"/>
      <c r="G125" s="64"/>
      <c r="H125" s="65"/>
      <c r="I125" s="67" t="s">
        <v>110</v>
      </c>
      <c r="J125" s="64">
        <v>0</v>
      </c>
      <c r="K125" s="68">
        <f t="shared" si="144"/>
        <v>0</v>
      </c>
      <c r="L125" s="69"/>
      <c r="M125" s="64"/>
      <c r="N125" s="70">
        <f t="shared" si="139"/>
        <v>0</v>
      </c>
      <c r="O125" s="85"/>
      <c r="P125" s="68">
        <f t="shared" si="140"/>
        <v>0</v>
      </c>
      <c r="Q125" s="64"/>
      <c r="R125" s="70"/>
      <c r="S125" s="85"/>
      <c r="T125" s="68">
        <f t="shared" si="141"/>
        <v>0</v>
      </c>
      <c r="U125" s="82">
        <v>7000</v>
      </c>
      <c r="V125" s="68">
        <f t="shared" si="145"/>
        <v>0</v>
      </c>
      <c r="W125" s="73">
        <f t="shared" si="146"/>
        <v>0</v>
      </c>
      <c r="X125" s="74"/>
    </row>
    <row r="126" spans="1:26" s="80" customFormat="1" ht="15.75" hidden="1" thickBot="1" x14ac:dyDescent="0.3">
      <c r="A126" s="74">
        <f t="shared" si="147"/>
        <v>116</v>
      </c>
      <c r="B126" s="74"/>
      <c r="C126" s="74" t="s">
        <v>185</v>
      </c>
      <c r="D126" s="64"/>
      <c r="E126" s="65"/>
      <c r="F126" s="66"/>
      <c r="G126" s="64"/>
      <c r="H126" s="65"/>
      <c r="I126" s="67" t="s">
        <v>110</v>
      </c>
      <c r="J126" s="64">
        <v>0</v>
      </c>
      <c r="K126" s="68">
        <f t="shared" si="144"/>
        <v>0</v>
      </c>
      <c r="L126" s="69"/>
      <c r="M126" s="64"/>
      <c r="N126" s="70">
        <f t="shared" si="139"/>
        <v>0</v>
      </c>
      <c r="O126" s="85"/>
      <c r="P126" s="68">
        <f t="shared" si="140"/>
        <v>0</v>
      </c>
      <c r="Q126" s="64"/>
      <c r="R126" s="70"/>
      <c r="S126" s="85"/>
      <c r="T126" s="68">
        <f t="shared" si="141"/>
        <v>0</v>
      </c>
      <c r="U126" s="82">
        <v>3500</v>
      </c>
      <c r="V126" s="68">
        <f t="shared" si="145"/>
        <v>0</v>
      </c>
      <c r="W126" s="73">
        <f t="shared" si="146"/>
        <v>0</v>
      </c>
      <c r="X126" s="74"/>
      <c r="Y126"/>
      <c r="Z126"/>
    </row>
    <row r="127" spans="1:26" ht="15.75" hidden="1" thickBot="1" x14ac:dyDescent="0.3">
      <c r="A127" s="74">
        <f t="shared" ref="A127:A135" si="148">A126+1</f>
        <v>117</v>
      </c>
      <c r="B127" s="74"/>
      <c r="C127" s="74" t="s">
        <v>186</v>
      </c>
      <c r="D127" s="64"/>
      <c r="E127" s="65"/>
      <c r="F127" s="66"/>
      <c r="G127" s="64"/>
      <c r="H127" s="65"/>
      <c r="I127" s="67" t="s">
        <v>187</v>
      </c>
      <c r="J127" s="64">
        <v>0</v>
      </c>
      <c r="K127" s="68">
        <f t="shared" si="144"/>
        <v>0</v>
      </c>
      <c r="L127" s="69"/>
      <c r="M127" s="64"/>
      <c r="N127" s="70">
        <f t="shared" si="139"/>
        <v>0</v>
      </c>
      <c r="O127" s="85"/>
      <c r="P127" s="68">
        <f t="shared" si="140"/>
        <v>0</v>
      </c>
      <c r="Q127" s="64"/>
      <c r="R127" s="70"/>
      <c r="S127" s="85"/>
      <c r="T127" s="68">
        <f t="shared" si="141"/>
        <v>0</v>
      </c>
      <c r="U127" s="82">
        <v>1500</v>
      </c>
      <c r="V127" s="68">
        <f t="shared" si="145"/>
        <v>0</v>
      </c>
      <c r="W127" s="73">
        <f t="shared" si="146"/>
        <v>0</v>
      </c>
      <c r="X127" s="74"/>
    </row>
    <row r="128" spans="1:26" ht="14.85" hidden="1" customHeight="1" thickBot="1" x14ac:dyDescent="0.3">
      <c r="A128" s="74">
        <f t="shared" si="148"/>
        <v>118</v>
      </c>
      <c r="B128" s="74"/>
      <c r="C128" s="74" t="s">
        <v>188</v>
      </c>
      <c r="D128" s="64"/>
      <c r="E128" s="65"/>
      <c r="F128" s="66"/>
      <c r="G128" s="64"/>
      <c r="H128" s="65"/>
      <c r="I128" s="67" t="s">
        <v>63</v>
      </c>
      <c r="J128" s="64">
        <v>0</v>
      </c>
      <c r="K128" s="68">
        <f t="shared" si="144"/>
        <v>0</v>
      </c>
      <c r="L128" s="69"/>
      <c r="M128" s="64"/>
      <c r="N128" s="70">
        <f t="shared" si="139"/>
        <v>0</v>
      </c>
      <c r="O128" s="85"/>
      <c r="P128" s="68">
        <f t="shared" si="140"/>
        <v>0</v>
      </c>
      <c r="Q128" s="64"/>
      <c r="R128" s="70"/>
      <c r="S128" s="85"/>
      <c r="T128" s="68">
        <f t="shared" si="141"/>
        <v>0</v>
      </c>
      <c r="U128" s="82">
        <v>2000</v>
      </c>
      <c r="V128" s="68">
        <f t="shared" si="145"/>
        <v>0</v>
      </c>
      <c r="W128" s="73">
        <f t="shared" si="146"/>
        <v>0</v>
      </c>
      <c r="X128" s="74"/>
    </row>
    <row r="129" spans="1:50" ht="15.75" hidden="1" thickBot="1" x14ac:dyDescent="0.3">
      <c r="A129" s="74">
        <f t="shared" si="148"/>
        <v>119</v>
      </c>
      <c r="B129" s="74"/>
      <c r="C129" s="74" t="s">
        <v>189</v>
      </c>
      <c r="D129" s="64"/>
      <c r="E129" s="65"/>
      <c r="F129" s="66"/>
      <c r="G129" s="64"/>
      <c r="H129" s="65"/>
      <c r="I129" s="67" t="s">
        <v>110</v>
      </c>
      <c r="J129" s="64"/>
      <c r="K129" s="68">
        <f t="shared" si="144"/>
        <v>0</v>
      </c>
      <c r="L129" s="69"/>
      <c r="M129" s="64"/>
      <c r="N129" s="70"/>
      <c r="O129" s="85"/>
      <c r="P129" s="68">
        <f t="shared" si="140"/>
        <v>0</v>
      </c>
      <c r="Q129" s="64"/>
      <c r="R129" s="70"/>
      <c r="S129" s="85"/>
      <c r="T129" s="68">
        <f t="shared" si="141"/>
        <v>0</v>
      </c>
      <c r="U129" s="82">
        <v>5000</v>
      </c>
      <c r="V129" s="68">
        <f t="shared" si="145"/>
        <v>0</v>
      </c>
      <c r="W129" s="73">
        <f>V129+T129+P129+K129</f>
        <v>0</v>
      </c>
      <c r="X129" s="74"/>
    </row>
    <row r="130" spans="1:50" ht="15.75" hidden="1" thickBot="1" x14ac:dyDescent="0.3">
      <c r="A130" s="74">
        <f>A129+1</f>
        <v>120</v>
      </c>
      <c r="B130" s="74"/>
      <c r="C130" s="74" t="s">
        <v>190</v>
      </c>
      <c r="D130" s="64"/>
      <c r="E130" s="65"/>
      <c r="F130" s="66"/>
      <c r="G130" s="64"/>
      <c r="H130" s="65"/>
      <c r="I130" s="67" t="s">
        <v>110</v>
      </c>
      <c r="J130" s="64"/>
      <c r="K130" s="68">
        <f t="shared" si="144"/>
        <v>0</v>
      </c>
      <c r="L130" s="69"/>
      <c r="M130" s="64"/>
      <c r="N130" s="70">
        <f t="shared" si="139"/>
        <v>0</v>
      </c>
      <c r="O130" s="85"/>
      <c r="P130" s="68">
        <f t="shared" si="140"/>
        <v>0</v>
      </c>
      <c r="Q130" s="64"/>
      <c r="R130" s="70"/>
      <c r="S130" s="85"/>
      <c r="T130" s="68">
        <f t="shared" si="141"/>
        <v>0</v>
      </c>
      <c r="U130" s="82">
        <v>12000</v>
      </c>
      <c r="V130" s="68">
        <f t="shared" si="145"/>
        <v>0</v>
      </c>
      <c r="W130" s="73">
        <f t="shared" ref="W130" si="149">V130+T130+P130+K130</f>
        <v>0</v>
      </c>
      <c r="X130" s="74"/>
    </row>
    <row r="131" spans="1:50" ht="15.75" hidden="1" thickBot="1" x14ac:dyDescent="0.3">
      <c r="A131" s="74">
        <f>A130+1</f>
        <v>121</v>
      </c>
      <c r="B131" s="74"/>
      <c r="C131" s="84" t="s">
        <v>191</v>
      </c>
      <c r="D131" s="64"/>
      <c r="E131" s="65"/>
      <c r="F131" s="66"/>
      <c r="G131" s="64"/>
      <c r="H131" s="65"/>
      <c r="I131" s="67" t="s">
        <v>110</v>
      </c>
      <c r="J131" s="64"/>
      <c r="K131" s="68">
        <f t="shared" ref="K131" si="150">J131*H131</f>
        <v>0</v>
      </c>
      <c r="L131" s="69"/>
      <c r="M131" s="64"/>
      <c r="N131" s="70">
        <f t="shared" ref="N131" si="151">ROUND(L131*M131*H131,0)</f>
        <v>0</v>
      </c>
      <c r="O131" s="85"/>
      <c r="P131" s="68">
        <f t="shared" ref="P131" si="152">O131*N131</f>
        <v>0</v>
      </c>
      <c r="Q131" s="64"/>
      <c r="R131" s="70"/>
      <c r="S131" s="85"/>
      <c r="T131" s="68">
        <f t="shared" ref="T131" si="153">S131*Q131</f>
        <v>0</v>
      </c>
      <c r="U131" s="82">
        <v>15000</v>
      </c>
      <c r="V131" s="68">
        <f t="shared" ref="V131" si="154">H131*U131</f>
        <v>0</v>
      </c>
      <c r="W131" s="73">
        <f t="shared" ref="W131" si="155">V131+T131+P131+K131</f>
        <v>0</v>
      </c>
      <c r="X131" s="74"/>
    </row>
    <row r="132" spans="1:50" s="80" customFormat="1" x14ac:dyDescent="0.25">
      <c r="A132" s="158">
        <f>A131+1</f>
        <v>122</v>
      </c>
      <c r="B132" s="176" t="s">
        <v>192</v>
      </c>
      <c r="C132" s="158"/>
      <c r="D132" s="160"/>
      <c r="E132" s="161"/>
      <c r="F132" s="162"/>
      <c r="G132" s="160"/>
      <c r="H132" s="161"/>
      <c r="I132" s="163"/>
      <c r="J132" s="160"/>
      <c r="K132" s="164">
        <f t="shared" si="144"/>
        <v>0</v>
      </c>
      <c r="L132" s="165"/>
      <c r="M132" s="160"/>
      <c r="N132" s="166">
        <f t="shared" si="139"/>
        <v>0</v>
      </c>
      <c r="O132" s="167"/>
      <c r="P132" s="164">
        <f t="shared" si="140"/>
        <v>0</v>
      </c>
      <c r="Q132" s="160"/>
      <c r="R132" s="166"/>
      <c r="S132" s="167"/>
      <c r="T132" s="164">
        <f t="shared" si="141"/>
        <v>0</v>
      </c>
      <c r="U132" s="168"/>
      <c r="V132" s="164">
        <f t="shared" si="145"/>
        <v>0</v>
      </c>
      <c r="W132" s="169">
        <f t="shared" si="146"/>
        <v>0</v>
      </c>
      <c r="X132" s="158" t="s">
        <v>167</v>
      </c>
      <c r="Y132" s="170">
        <f>SUM(W132:W134)</f>
        <v>0</v>
      </c>
      <c r="Z132"/>
    </row>
    <row r="133" spans="1:50" ht="15.75" hidden="1" thickBot="1" x14ac:dyDescent="0.3">
      <c r="A133" s="74">
        <f t="shared" si="148"/>
        <v>123</v>
      </c>
      <c r="B133" s="74"/>
      <c r="C133" s="77" t="s">
        <v>193</v>
      </c>
      <c r="D133" s="64"/>
      <c r="E133" s="65"/>
      <c r="F133" s="66"/>
      <c r="G133" s="64"/>
      <c r="H133" s="65">
        <v>1</v>
      </c>
      <c r="I133" s="67" t="s">
        <v>63</v>
      </c>
      <c r="J133" s="64">
        <v>0</v>
      </c>
      <c r="K133" s="68">
        <f t="shared" si="144"/>
        <v>0</v>
      </c>
      <c r="L133" s="69"/>
      <c r="M133" s="64"/>
      <c r="N133" s="70">
        <f t="shared" ref="N133" si="156">ROUND(L133*M133*H133,0)</f>
        <v>0</v>
      </c>
      <c r="O133" s="71"/>
      <c r="P133" s="68">
        <f t="shared" si="140"/>
        <v>0</v>
      </c>
      <c r="Q133" s="64"/>
      <c r="R133" s="70"/>
      <c r="S133" s="71"/>
      <c r="T133" s="68">
        <f t="shared" si="141"/>
        <v>0</v>
      </c>
      <c r="U133" s="72"/>
      <c r="V133" s="68">
        <f t="shared" si="145"/>
        <v>0</v>
      </c>
      <c r="W133" s="73">
        <f t="shared" si="146"/>
        <v>0</v>
      </c>
      <c r="X133" s="74"/>
      <c r="AC133" s="148"/>
      <c r="AD133" s="127"/>
      <c r="AE133" s="127"/>
      <c r="AF133" s="127"/>
      <c r="AG133" s="127"/>
      <c r="AH133" s="127"/>
      <c r="AI133" s="144"/>
      <c r="AJ133" s="127"/>
      <c r="AK133" s="78"/>
      <c r="AL133" s="145"/>
      <c r="AM133" s="127"/>
      <c r="AN133" s="146"/>
      <c r="AO133" s="147"/>
      <c r="AP133" s="78"/>
      <c r="AQ133" s="127"/>
      <c r="AR133" s="146"/>
      <c r="AS133" s="147"/>
      <c r="AT133" s="78"/>
      <c r="AU133" s="147"/>
      <c r="AV133" s="78"/>
      <c r="AW133" s="78"/>
      <c r="AX133" s="149"/>
    </row>
    <row r="134" spans="1:50" ht="15.75" hidden="1" thickBot="1" x14ac:dyDescent="0.3">
      <c r="A134" s="74">
        <f t="shared" si="148"/>
        <v>124</v>
      </c>
      <c r="B134" s="74"/>
      <c r="C134" s="74" t="s">
        <v>194</v>
      </c>
      <c r="D134" s="64"/>
      <c r="E134" s="65"/>
      <c r="F134" s="66"/>
      <c r="G134" s="64"/>
      <c r="H134" s="65">
        <v>1</v>
      </c>
      <c r="I134" s="67" t="s">
        <v>63</v>
      </c>
      <c r="J134" s="64">
        <v>0</v>
      </c>
      <c r="K134" s="68">
        <f t="shared" si="138"/>
        <v>0</v>
      </c>
      <c r="L134" s="69"/>
      <c r="M134" s="64"/>
      <c r="N134" s="70">
        <f t="shared" ref="N134:N135" si="157">L134*M134*H134</f>
        <v>0</v>
      </c>
      <c r="O134" s="71"/>
      <c r="P134" s="68">
        <f t="shared" si="140"/>
        <v>0</v>
      </c>
      <c r="Q134" s="64"/>
      <c r="R134" s="70"/>
      <c r="S134" s="71"/>
      <c r="T134" s="68">
        <f t="shared" si="141"/>
        <v>0</v>
      </c>
      <c r="U134" s="72"/>
      <c r="V134" s="68">
        <f t="shared" si="142"/>
        <v>0</v>
      </c>
      <c r="W134" s="73">
        <f t="shared" si="143"/>
        <v>0</v>
      </c>
      <c r="X134" s="74"/>
    </row>
    <row r="135" spans="1:50" s="100" customFormat="1" hidden="1" x14ac:dyDescent="0.25">
      <c r="A135" s="74">
        <f t="shared" si="148"/>
        <v>125</v>
      </c>
      <c r="B135" s="87"/>
      <c r="C135" s="87"/>
      <c r="D135" s="88"/>
      <c r="E135" s="89"/>
      <c r="F135" s="90"/>
      <c r="G135" s="88"/>
      <c r="H135" s="89"/>
      <c r="I135" s="91"/>
      <c r="J135" s="88"/>
      <c r="K135" s="92">
        <f t="shared" si="138"/>
        <v>0</v>
      </c>
      <c r="L135" s="93"/>
      <c r="M135" s="88"/>
      <c r="N135" s="94">
        <f t="shared" si="157"/>
        <v>0</v>
      </c>
      <c r="O135" s="95"/>
      <c r="P135" s="92">
        <f t="shared" si="140"/>
        <v>0</v>
      </c>
      <c r="Q135" s="88"/>
      <c r="R135" s="94"/>
      <c r="S135" s="95"/>
      <c r="T135" s="92">
        <f t="shared" si="141"/>
        <v>0</v>
      </c>
      <c r="U135" s="96"/>
      <c r="V135" s="92">
        <f t="shared" si="142"/>
        <v>0</v>
      </c>
      <c r="W135" s="97">
        <f t="shared" si="143"/>
        <v>0</v>
      </c>
      <c r="X135" s="98"/>
      <c r="Y135" s="99"/>
    </row>
    <row r="136" spans="1:50" s="42" customFormat="1" ht="15.75" thickBot="1" x14ac:dyDescent="0.3">
      <c r="A136" s="74"/>
      <c r="I136" s="101"/>
      <c r="O136" s="47"/>
      <c r="S136" s="47"/>
      <c r="U136" s="45"/>
    </row>
    <row r="137" spans="1:50" x14ac:dyDescent="0.25">
      <c r="A137" s="74">
        <f t="shared" ref="A137:A147" si="158">A136+1</f>
        <v>1</v>
      </c>
      <c r="C137" s="102" t="s">
        <v>195</v>
      </c>
      <c r="D137" s="42"/>
      <c r="E137" s="42"/>
      <c r="F137" s="42"/>
      <c r="G137" s="42"/>
      <c r="H137" s="42"/>
      <c r="I137" s="101"/>
      <c r="J137" s="42"/>
      <c r="K137" s="103">
        <f>SUM(K8:K136)</f>
        <v>0</v>
      </c>
      <c r="L137" s="42"/>
      <c r="M137" s="42"/>
      <c r="N137" s="42"/>
      <c r="O137" s="47"/>
      <c r="P137" s="78">
        <f>SUM(P8:P136)</f>
        <v>0</v>
      </c>
      <c r="Q137" s="42"/>
      <c r="R137" s="42"/>
      <c r="S137" s="47"/>
      <c r="T137" s="78">
        <f>SUM(T8:T136)</f>
        <v>0</v>
      </c>
      <c r="U137" s="45"/>
      <c r="V137" s="78">
        <f>SUM(V8:V136)</f>
        <v>2771500</v>
      </c>
      <c r="W137" s="104">
        <f>SUM(W8:W135)</f>
        <v>2771500</v>
      </c>
      <c r="X137" s="105"/>
    </row>
    <row r="138" spans="1:50" x14ac:dyDescent="0.25">
      <c r="A138" s="74">
        <f t="shared" si="158"/>
        <v>2</v>
      </c>
      <c r="C138" s="102" t="s">
        <v>35</v>
      </c>
      <c r="D138" s="42"/>
      <c r="E138" s="42"/>
      <c r="F138" s="42"/>
      <c r="G138" s="42"/>
      <c r="H138" s="103">
        <f>K137</f>
        <v>0</v>
      </c>
      <c r="I138" s="106">
        <v>7.0000000000000007E-2</v>
      </c>
      <c r="J138" s="42"/>
      <c r="K138" s="78">
        <f>$I138*$H138</f>
        <v>0</v>
      </c>
      <c r="L138" s="42"/>
      <c r="M138" s="42"/>
      <c r="N138" s="42"/>
      <c r="O138" s="47"/>
      <c r="P138" s="42"/>
      <c r="Q138" s="103">
        <f>T137</f>
        <v>0</v>
      </c>
      <c r="R138" s="106">
        <v>7.0000000000000007E-2</v>
      </c>
      <c r="S138" s="42"/>
      <c r="T138" s="78">
        <f>$R138*$Q138</f>
        <v>0</v>
      </c>
      <c r="U138" s="45"/>
      <c r="V138" s="42"/>
      <c r="W138" s="104">
        <f>K138+T138</f>
        <v>0</v>
      </c>
      <c r="X138" s="84"/>
    </row>
    <row r="139" spans="1:50" ht="15.75" thickBot="1" x14ac:dyDescent="0.3">
      <c r="A139" s="74">
        <f t="shared" si="158"/>
        <v>3</v>
      </c>
      <c r="C139" s="107" t="s">
        <v>196</v>
      </c>
      <c r="D139" s="42"/>
      <c r="E139" s="42"/>
      <c r="F139" s="42"/>
      <c r="G139" s="42"/>
      <c r="H139" s="42"/>
      <c r="I139" s="101"/>
      <c r="J139" s="42"/>
      <c r="K139" s="42"/>
      <c r="L139" s="42"/>
      <c r="M139" s="42"/>
      <c r="N139" s="108"/>
      <c r="O139" s="109"/>
      <c r="P139" s="78">
        <f>P137*Q139</f>
        <v>0</v>
      </c>
      <c r="Q139" s="110">
        <v>0</v>
      </c>
      <c r="R139" s="108"/>
      <c r="S139" s="109"/>
      <c r="T139" s="42"/>
      <c r="U139" s="45"/>
      <c r="V139" s="42"/>
      <c r="W139" s="104">
        <f>P139</f>
        <v>0</v>
      </c>
      <c r="X139" s="84"/>
    </row>
    <row r="140" spans="1:50" ht="15.75" thickBot="1" x14ac:dyDescent="0.3">
      <c r="A140" s="74">
        <f t="shared" si="158"/>
        <v>4</v>
      </c>
      <c r="B140" s="42"/>
      <c r="C140" s="42"/>
      <c r="D140" s="42"/>
      <c r="E140" s="42"/>
      <c r="F140" s="42"/>
      <c r="G140" s="42"/>
      <c r="H140" s="42"/>
      <c r="I140" s="101"/>
      <c r="J140" s="42"/>
      <c r="K140" s="42"/>
      <c r="L140" s="42"/>
      <c r="M140" s="42"/>
      <c r="N140" s="42"/>
      <c r="O140" s="47"/>
      <c r="P140" s="42"/>
      <c r="Q140" s="42"/>
      <c r="R140" s="42"/>
      <c r="S140" s="47"/>
      <c r="T140" s="42"/>
      <c r="U140" s="45"/>
      <c r="V140" s="42"/>
      <c r="W140" s="42"/>
      <c r="X140" s="84"/>
    </row>
    <row r="141" spans="1:50" x14ac:dyDescent="0.25">
      <c r="A141" s="74">
        <f t="shared" si="158"/>
        <v>5</v>
      </c>
      <c r="B141" s="111"/>
      <c r="C141" s="102" t="s">
        <v>197</v>
      </c>
      <c r="D141" s="42"/>
      <c r="E141" s="42"/>
      <c r="F141" s="42"/>
      <c r="G141" s="42"/>
      <c r="H141" s="42"/>
      <c r="I141" s="101"/>
      <c r="J141" s="42"/>
      <c r="K141" s="42"/>
      <c r="L141" s="42"/>
      <c r="M141" s="42"/>
      <c r="N141" s="42"/>
      <c r="O141" s="47"/>
      <c r="P141" s="42"/>
      <c r="Q141" s="42"/>
      <c r="R141" s="42"/>
      <c r="S141" s="47"/>
      <c r="T141" s="42"/>
      <c r="U141" s="45"/>
      <c r="V141" s="42"/>
      <c r="W141" s="104">
        <f>SUM(W137:W139)</f>
        <v>2771500</v>
      </c>
      <c r="X141" s="84"/>
    </row>
    <row r="142" spans="1:50" x14ac:dyDescent="0.25">
      <c r="A142" s="74">
        <f t="shared" si="158"/>
        <v>6</v>
      </c>
      <c r="B142" s="112"/>
      <c r="C142" s="102" t="s">
        <v>198</v>
      </c>
      <c r="D142" s="42"/>
      <c r="E142" s="42"/>
      <c r="F142" s="42"/>
      <c r="G142" s="42"/>
      <c r="H142" s="78">
        <f>W141*I142</f>
        <v>0</v>
      </c>
      <c r="I142" s="113">
        <v>0</v>
      </c>
      <c r="J142" s="42"/>
      <c r="K142" s="42"/>
      <c r="L142" s="42"/>
      <c r="M142" s="42"/>
      <c r="N142" s="42"/>
      <c r="O142" s="47"/>
      <c r="P142" s="42"/>
      <c r="Q142" s="42"/>
      <c r="R142" s="42"/>
      <c r="S142" s="47"/>
      <c r="T142" s="42"/>
      <c r="U142" s="45"/>
      <c r="V142" s="42"/>
      <c r="W142" s="114">
        <f>H142</f>
        <v>0</v>
      </c>
      <c r="X142" s="84"/>
    </row>
    <row r="143" spans="1:50" x14ac:dyDescent="0.25">
      <c r="A143" s="74">
        <f t="shared" si="158"/>
        <v>7</v>
      </c>
      <c r="B143" s="112"/>
      <c r="C143" s="102" t="s">
        <v>52</v>
      </c>
      <c r="D143" s="42"/>
      <c r="E143" s="42"/>
      <c r="F143" s="42"/>
      <c r="G143" s="42"/>
      <c r="H143" s="115">
        <v>3000</v>
      </c>
      <c r="I143" s="116" t="s">
        <v>199</v>
      </c>
      <c r="J143" s="117"/>
      <c r="K143" s="118"/>
      <c r="L143" s="119" t="s">
        <v>200</v>
      </c>
      <c r="M143" s="117"/>
      <c r="N143" s="42"/>
      <c r="O143" s="47"/>
      <c r="P143" s="42"/>
      <c r="Q143" s="42"/>
      <c r="R143" s="42"/>
      <c r="S143" s="47"/>
      <c r="T143" s="42"/>
      <c r="U143" s="45"/>
      <c r="V143" s="42"/>
      <c r="W143" s="104">
        <f>H143*K143</f>
        <v>0</v>
      </c>
      <c r="X143" s="84"/>
    </row>
    <row r="144" spans="1:50" x14ac:dyDescent="0.25">
      <c r="A144" s="74">
        <f t="shared" si="158"/>
        <v>8</v>
      </c>
      <c r="B144" s="112"/>
      <c r="C144" s="102" t="s">
        <v>201</v>
      </c>
      <c r="D144" s="42"/>
      <c r="E144" s="42"/>
      <c r="F144" s="42"/>
      <c r="G144" s="42"/>
      <c r="H144" s="42"/>
      <c r="I144" s="101"/>
      <c r="J144" s="42"/>
      <c r="K144" s="42"/>
      <c r="L144" s="42"/>
      <c r="M144" s="42"/>
      <c r="N144" s="42"/>
      <c r="O144" s="47"/>
      <c r="P144" s="42"/>
      <c r="Q144" s="42"/>
      <c r="R144" s="42"/>
      <c r="S144" s="47"/>
      <c r="T144" s="42"/>
      <c r="U144" s="45"/>
      <c r="V144" s="42"/>
      <c r="W144" s="104">
        <f>SUM(W141,W143)</f>
        <v>2771500</v>
      </c>
      <c r="X144" s="84"/>
    </row>
    <row r="145" spans="1:49" x14ac:dyDescent="0.25">
      <c r="A145" s="74">
        <f t="shared" si="158"/>
        <v>9</v>
      </c>
      <c r="B145" s="112"/>
      <c r="C145" s="102" t="s">
        <v>39</v>
      </c>
      <c r="D145" s="42"/>
      <c r="E145" s="42"/>
      <c r="F145" s="42"/>
      <c r="G145" s="42"/>
      <c r="H145" s="42"/>
      <c r="I145" s="101"/>
      <c r="J145" s="42"/>
      <c r="K145" s="42"/>
      <c r="L145" s="42"/>
      <c r="M145" s="42"/>
      <c r="N145" s="42"/>
      <c r="O145" s="47"/>
      <c r="P145" s="42"/>
      <c r="Q145" s="42"/>
      <c r="R145" s="42"/>
      <c r="S145" s="47"/>
      <c r="T145" s="42"/>
      <c r="U145" s="45"/>
      <c r="V145" s="120">
        <v>0</v>
      </c>
      <c r="W145" s="104">
        <f>V145*W144</f>
        <v>0</v>
      </c>
      <c r="X145" s="84"/>
    </row>
    <row r="146" spans="1:49" ht="15.75" thickBot="1" x14ac:dyDescent="0.3">
      <c r="A146" s="74">
        <f t="shared" si="158"/>
        <v>10</v>
      </c>
      <c r="B146" s="112"/>
      <c r="C146" s="102" t="s">
        <v>202</v>
      </c>
      <c r="D146" s="42"/>
      <c r="E146" s="42"/>
      <c r="F146" s="42"/>
      <c r="G146" s="42"/>
      <c r="H146" s="42"/>
      <c r="I146" s="101"/>
      <c r="J146" s="42"/>
      <c r="K146" s="42"/>
      <c r="L146" s="42"/>
      <c r="M146" s="42"/>
      <c r="N146" s="42"/>
      <c r="O146" s="47"/>
      <c r="P146" s="42"/>
      <c r="Q146" s="42"/>
      <c r="R146" s="42"/>
      <c r="S146" s="47"/>
      <c r="T146" s="42"/>
      <c r="U146" s="45"/>
      <c r="V146" s="120">
        <v>0</v>
      </c>
      <c r="W146" s="121">
        <f>V146*W144</f>
        <v>0</v>
      </c>
      <c r="X146" s="84"/>
    </row>
    <row r="147" spans="1:49" ht="15.75" thickBot="1" x14ac:dyDescent="0.3">
      <c r="A147" s="74">
        <f t="shared" si="158"/>
        <v>11</v>
      </c>
      <c r="B147" s="122"/>
      <c r="C147" s="107" t="s">
        <v>203</v>
      </c>
      <c r="D147" s="42"/>
      <c r="E147" s="42"/>
      <c r="F147" s="42"/>
      <c r="G147" s="42"/>
      <c r="H147" s="42"/>
      <c r="I147" s="101"/>
      <c r="J147" s="42"/>
      <c r="K147" s="42"/>
      <c r="L147" s="42"/>
      <c r="M147" s="42"/>
      <c r="N147" s="42"/>
      <c r="O147" s="47"/>
      <c r="P147" s="42"/>
      <c r="Q147" s="42"/>
      <c r="R147" s="42"/>
      <c r="S147" s="47"/>
      <c r="T147" s="42"/>
      <c r="U147" s="45"/>
      <c r="V147" s="42"/>
      <c r="W147" s="123">
        <f>SUM(W144:W146)</f>
        <v>2771500</v>
      </c>
      <c r="X147" s="124"/>
    </row>
    <row r="150" spans="1:49" ht="15.75" thickBot="1" x14ac:dyDescent="0.3">
      <c r="C150" s="102"/>
      <c r="E150" s="126"/>
      <c r="F150" s="126"/>
      <c r="G150" s="126"/>
      <c r="J150" s="127"/>
      <c r="AC150" s="102"/>
      <c r="AI150" s="27"/>
      <c r="AO150" s="49"/>
      <c r="AS150" s="49"/>
      <c r="AU150" s="125"/>
    </row>
    <row r="151" spans="1:49" ht="15.75" thickBot="1" x14ac:dyDescent="0.3">
      <c r="C151" s="80"/>
      <c r="E151" s="127"/>
      <c r="F151" s="127"/>
      <c r="G151" s="128"/>
      <c r="H151" s="127"/>
      <c r="I151"/>
      <c r="J151" s="127"/>
      <c r="V151" s="129"/>
      <c r="W151" s="73"/>
      <c r="AC151" s="80"/>
      <c r="AO151" s="49"/>
      <c r="AS151" s="49"/>
      <c r="AU151" s="125"/>
      <c r="AV151" s="129"/>
      <c r="AW151" s="73"/>
    </row>
    <row r="152" spans="1:49" ht="15.75" thickBot="1" x14ac:dyDescent="0.3">
      <c r="C152" s="80"/>
      <c r="E152" s="127"/>
      <c r="F152" s="127"/>
      <c r="G152" s="128"/>
      <c r="H152" s="130"/>
      <c r="I152"/>
      <c r="J152" s="127"/>
      <c r="M152" s="131"/>
      <c r="N152" s="132"/>
      <c r="O152" s="127"/>
      <c r="V152" s="129"/>
      <c r="W152" s="73"/>
      <c r="X152" s="133"/>
    </row>
    <row r="153" spans="1:49" ht="15.75" thickBot="1" x14ac:dyDescent="0.3">
      <c r="C153" s="80"/>
      <c r="E153" s="127"/>
      <c r="F153" s="127"/>
      <c r="G153" s="128"/>
      <c r="H153" s="130"/>
      <c r="I153"/>
      <c r="J153" s="127"/>
      <c r="M153" s="131"/>
      <c r="N153" s="132"/>
      <c r="O153" s="127"/>
      <c r="V153" s="129"/>
      <c r="W153" s="73"/>
      <c r="X153" s="133"/>
    </row>
    <row r="154" spans="1:49" ht="15.75" thickBot="1" x14ac:dyDescent="0.3">
      <c r="C154" s="80"/>
      <c r="H154" s="127"/>
      <c r="I154"/>
      <c r="J154" s="127"/>
      <c r="O154" s="127"/>
      <c r="V154" s="129"/>
      <c r="W154" s="73"/>
      <c r="AC154" s="80"/>
      <c r="AO154" s="49"/>
      <c r="AS154" s="49"/>
      <c r="AU154" s="125"/>
      <c r="AV154" s="129"/>
      <c r="AW154" s="73"/>
    </row>
    <row r="155" spans="1:49" ht="15.75" thickBot="1" x14ac:dyDescent="0.3">
      <c r="C155" s="80"/>
      <c r="H155" s="127"/>
      <c r="I155"/>
      <c r="V155" s="129"/>
      <c r="W155" s="73"/>
      <c r="AC155" s="80"/>
      <c r="AO155" s="49"/>
      <c r="AS155" s="49"/>
      <c r="AU155" s="125"/>
      <c r="AV155" s="129"/>
      <c r="AW155" s="73"/>
    </row>
    <row r="156" spans="1:49" ht="15.75" thickBot="1" x14ac:dyDescent="0.3">
      <c r="C156" s="80"/>
      <c r="H156" s="127"/>
      <c r="I156"/>
      <c r="V156" s="129"/>
      <c r="W156" s="73"/>
      <c r="AC156" s="80"/>
      <c r="AO156" s="49"/>
      <c r="AS156" s="49"/>
      <c r="AU156" s="125"/>
      <c r="AV156" s="129"/>
      <c r="AW156" s="73"/>
    </row>
    <row r="157" spans="1:49" ht="15.75" thickBot="1" x14ac:dyDescent="0.3">
      <c r="C157" s="80"/>
      <c r="H157" s="127"/>
      <c r="I157"/>
      <c r="V157" s="129"/>
      <c r="W157" s="73"/>
      <c r="AC157" s="80"/>
      <c r="AO157" s="49"/>
      <c r="AS157" s="49"/>
      <c r="AU157" s="125"/>
      <c r="AV157" s="129"/>
      <c r="AW157" s="73"/>
    </row>
    <row r="158" spans="1:49" ht="15.75" thickBot="1" x14ac:dyDescent="0.3">
      <c r="C158" s="80"/>
      <c r="H158" s="127"/>
      <c r="I158"/>
      <c r="V158" s="129"/>
      <c r="W158" s="73"/>
      <c r="AC158" s="80"/>
      <c r="AO158" s="49"/>
      <c r="AS158" s="49"/>
      <c r="AU158" s="125"/>
      <c r="AV158" s="129"/>
      <c r="AW158" s="73"/>
    </row>
    <row r="159" spans="1:49" ht="15.75" thickBot="1" x14ac:dyDescent="0.3">
      <c r="C159" s="80"/>
      <c r="H159" s="127"/>
      <c r="I159"/>
      <c r="V159" s="129"/>
      <c r="W159" s="73"/>
      <c r="AC159" s="80"/>
      <c r="AO159" s="49"/>
      <c r="AS159" s="49"/>
      <c r="AU159" s="125"/>
      <c r="AV159" s="129"/>
      <c r="AW159" s="73"/>
    </row>
    <row r="160" spans="1:49" ht="15.75" thickBot="1" x14ac:dyDescent="0.3">
      <c r="C160" s="80"/>
      <c r="H160" s="128"/>
      <c r="I160"/>
      <c r="V160" s="129"/>
      <c r="W160" s="73"/>
      <c r="AC160" s="80"/>
      <c r="AO160" s="49"/>
      <c r="AS160" s="49"/>
      <c r="AU160" s="125"/>
      <c r="AV160" s="129"/>
      <c r="AW160" s="73"/>
    </row>
    <row r="161" spans="3:49" ht="15.75" thickBot="1" x14ac:dyDescent="0.3">
      <c r="C161" s="80"/>
      <c r="H161" s="128"/>
      <c r="I161"/>
      <c r="V161" s="129"/>
      <c r="W161" s="73"/>
      <c r="AC161" s="80"/>
      <c r="AO161" s="49"/>
      <c r="AS161" s="49"/>
      <c r="AU161" s="125"/>
      <c r="AV161" s="129"/>
      <c r="AW161" s="73"/>
    </row>
    <row r="162" spans="3:49" ht="15.75" thickBot="1" x14ac:dyDescent="0.3">
      <c r="C162" s="80"/>
      <c r="H162" s="127"/>
      <c r="I162" s="134"/>
      <c r="V162" s="129"/>
      <c r="W162" s="73"/>
      <c r="AC162" s="80"/>
      <c r="AI162" s="27"/>
      <c r="AO162" s="49"/>
      <c r="AS162" s="49"/>
      <c r="AU162" s="125"/>
      <c r="AV162" s="129"/>
      <c r="AW162" s="73"/>
    </row>
    <row r="163" spans="3:49" ht="15.75" thickBot="1" x14ac:dyDescent="0.3">
      <c r="C163" s="80"/>
      <c r="H163" s="127"/>
      <c r="I163" s="134"/>
      <c r="V163" s="129"/>
      <c r="W163" s="73"/>
      <c r="AC163" s="80"/>
      <c r="AI163" s="27"/>
      <c r="AO163" s="49"/>
      <c r="AS163" s="49"/>
      <c r="AU163" s="125"/>
      <c r="AV163" s="129"/>
      <c r="AW163" s="73"/>
    </row>
    <row r="164" spans="3:49" ht="15.75" thickBot="1" x14ac:dyDescent="0.3">
      <c r="C164" s="80"/>
      <c r="H164" s="127"/>
      <c r="I164" s="134"/>
      <c r="U164" s="135"/>
      <c r="V164" s="129"/>
      <c r="W164" s="73"/>
      <c r="AC164" s="80"/>
      <c r="AI164" s="27"/>
      <c r="AO164" s="49"/>
      <c r="AS164" s="49"/>
      <c r="AU164" s="125"/>
      <c r="AV164" s="129"/>
      <c r="AW164" s="73"/>
    </row>
    <row r="165" spans="3:49" ht="15.75" thickBot="1" x14ac:dyDescent="0.3">
      <c r="C165" s="80"/>
      <c r="H165" s="127"/>
      <c r="I165"/>
      <c r="V165" s="129"/>
      <c r="W165" s="73"/>
      <c r="AC165" s="80"/>
      <c r="AO165" s="49"/>
      <c r="AS165" s="49"/>
      <c r="AU165" s="125"/>
      <c r="AV165" s="129"/>
      <c r="AW165" s="73"/>
    </row>
    <row r="166" spans="3:49" ht="15.75" thickBot="1" x14ac:dyDescent="0.3">
      <c r="C166" s="80"/>
      <c r="H166" s="127"/>
      <c r="I166"/>
      <c r="V166" s="129"/>
      <c r="W166" s="73"/>
      <c r="AC166" s="80"/>
      <c r="AO166" s="49"/>
      <c r="AS166" s="49"/>
      <c r="AU166" s="125"/>
      <c r="AV166" s="129"/>
      <c r="AW166" s="73"/>
    </row>
    <row r="167" spans="3:49" ht="15.75" thickBot="1" x14ac:dyDescent="0.3">
      <c r="C167" s="80"/>
      <c r="H167" s="136"/>
      <c r="I167" s="134"/>
      <c r="U167" s="137"/>
      <c r="V167" s="129"/>
      <c r="W167" s="73"/>
    </row>
    <row r="168" spans="3:49" x14ac:dyDescent="0.25">
      <c r="C168" s="80"/>
      <c r="H168" s="127"/>
      <c r="I168" s="134"/>
      <c r="V168" s="129"/>
      <c r="W168" s="73"/>
      <c r="AC168" s="80"/>
      <c r="AI168" s="27"/>
      <c r="AO168" s="49"/>
      <c r="AS168" s="49"/>
      <c r="AU168" s="125"/>
      <c r="AV168" s="129"/>
      <c r="AW168" s="73"/>
    </row>
    <row r="169" spans="3:49" x14ac:dyDescent="0.25">
      <c r="C169" s="80"/>
      <c r="H169" s="127"/>
      <c r="I169" s="134"/>
      <c r="W169" s="78"/>
      <c r="AC169" s="80"/>
      <c r="AI169" s="27"/>
      <c r="AO169" s="49"/>
      <c r="AS169" s="49"/>
      <c r="AU169" s="125"/>
      <c r="AW169" s="78"/>
    </row>
    <row r="170" spans="3:49" x14ac:dyDescent="0.25">
      <c r="C170" s="80"/>
      <c r="H170" s="127"/>
      <c r="I170" s="134"/>
      <c r="W170" s="3"/>
      <c r="AC170" s="80"/>
      <c r="AI170" s="27"/>
      <c r="AO170" s="49"/>
      <c r="AS170" s="49"/>
      <c r="AU170" s="125"/>
      <c r="AW170" s="3"/>
    </row>
    <row r="175" spans="3:49" x14ac:dyDescent="0.25">
      <c r="T175" s="78"/>
      <c r="U175" s="138"/>
      <c r="V175" s="78"/>
    </row>
    <row r="176" spans="3:49" x14ac:dyDescent="0.25">
      <c r="T176" s="78"/>
      <c r="U176" s="138"/>
      <c r="V176" s="78"/>
    </row>
    <row r="177" spans="20:22" x14ac:dyDescent="0.25">
      <c r="T177" s="78"/>
      <c r="U177" s="138"/>
      <c r="V177" s="78"/>
    </row>
    <row r="178" spans="20:22" x14ac:dyDescent="0.25">
      <c r="T178" s="78"/>
      <c r="U178" s="138"/>
      <c r="V178" s="78"/>
    </row>
    <row r="179" spans="20:22" x14ac:dyDescent="0.25">
      <c r="T179" s="78"/>
      <c r="U179" s="138"/>
      <c r="V179" s="78"/>
    </row>
    <row r="180" spans="20:22" x14ac:dyDescent="0.25">
      <c r="T180" s="78"/>
      <c r="U180" s="138"/>
      <c r="V180" s="78"/>
    </row>
    <row r="181" spans="20:22" x14ac:dyDescent="0.25">
      <c r="T181" s="78"/>
      <c r="U181" s="138"/>
      <c r="V181" s="78"/>
    </row>
    <row r="182" spans="20:22" x14ac:dyDescent="0.25">
      <c r="T182" s="78"/>
      <c r="U182" s="138"/>
      <c r="V182" s="78"/>
    </row>
    <row r="183" spans="20:22" x14ac:dyDescent="0.25">
      <c r="T183" s="78"/>
      <c r="U183" s="138"/>
      <c r="V183" s="78"/>
    </row>
    <row r="184" spans="20:22" x14ac:dyDescent="0.25">
      <c r="T184" s="78"/>
      <c r="U184" s="138"/>
      <c r="V184" s="78"/>
    </row>
    <row r="185" spans="20:22" x14ac:dyDescent="0.25">
      <c r="T185" s="78"/>
      <c r="U185" s="138"/>
      <c r="V185" s="78"/>
    </row>
    <row r="186" spans="20:22" x14ac:dyDescent="0.25">
      <c r="T186" s="78"/>
      <c r="U186" s="138"/>
      <c r="V186" s="78"/>
    </row>
    <row r="187" spans="20:22" x14ac:dyDescent="0.25">
      <c r="T187" s="78"/>
      <c r="U187" s="138"/>
      <c r="V187" s="78"/>
    </row>
    <row r="188" spans="20:22" x14ac:dyDescent="0.25">
      <c r="T188" s="78"/>
      <c r="U188" s="138"/>
      <c r="V188" s="78"/>
    </row>
    <row r="189" spans="20:22" x14ac:dyDescent="0.25">
      <c r="T189" s="78"/>
      <c r="U189" s="138"/>
      <c r="V189" s="78"/>
    </row>
    <row r="190" spans="20:22" x14ac:dyDescent="0.25">
      <c r="T190" s="78"/>
      <c r="U190" s="138"/>
      <c r="V190" s="78"/>
    </row>
    <row r="191" spans="20:22" x14ac:dyDescent="0.25">
      <c r="T191" s="78"/>
      <c r="U191" s="138"/>
      <c r="V191" s="78"/>
    </row>
    <row r="192" spans="20:22" x14ac:dyDescent="0.25">
      <c r="T192" s="78"/>
      <c r="U192" s="138"/>
      <c r="V192" s="78"/>
    </row>
    <row r="193" spans="20:22" x14ac:dyDescent="0.25">
      <c r="T193" s="78"/>
      <c r="U193" s="138"/>
      <c r="V193" s="78"/>
    </row>
    <row r="195" spans="20:22" x14ac:dyDescent="0.25">
      <c r="T195" s="78"/>
      <c r="U195" s="138"/>
      <c r="V195" s="78"/>
    </row>
  </sheetData>
  <mergeCells count="5">
    <mergeCell ref="D6:F6"/>
    <mergeCell ref="J6:K6"/>
    <mergeCell ref="M6:P6"/>
    <mergeCell ref="Q6:T6"/>
    <mergeCell ref="U6:V6"/>
  </mergeCells>
  <phoneticPr fontId="27" type="noConversion"/>
  <pageMargins left="0.7" right="0.7" top="0.75" bottom="0.75" header="0.3" footer="0.3"/>
  <pageSetup paperSize="3" scale="83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Estimate</vt:lpstr>
      <vt:lpstr>General Conditions</vt:lpstr>
      <vt:lpstr>QuantityTakeoff</vt:lpstr>
      <vt:lpstr>Estimate!Print_Area</vt:lpstr>
      <vt:lpstr>QuantityTakeoff!Print_Area</vt:lpstr>
      <vt:lpstr>Estimate!Print_Titles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Brandon Clymer</dc:creator>
  <cp:keywords/>
  <dc:description/>
  <cp:lastModifiedBy>Candon Rusin</cp:lastModifiedBy>
  <cp:revision/>
  <cp:lastPrinted>2025-11-11T17:10:17Z</cp:lastPrinted>
  <dcterms:created xsi:type="dcterms:W3CDTF">2013-09-25T13:18:07Z</dcterms:created>
  <dcterms:modified xsi:type="dcterms:W3CDTF">2025-11-17T14:08:29Z</dcterms:modified>
  <cp:category/>
  <cp:contentStatus/>
</cp:coreProperties>
</file>