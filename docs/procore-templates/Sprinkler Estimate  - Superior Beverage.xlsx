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leato.sharepoint.com/sites/AlleatoGroup/Shared Documents/Alleato Group/Alleato Group-Shared/Estimating/25-09.24 - Superior Beverae Exotec (Glenwillow, OH)/04 - Estimate/"/>
    </mc:Choice>
  </mc:AlternateContent>
  <xr:revisionPtr revIDLastSave="93" documentId="8_{E03EABA1-2164-4F27-97E6-8BBBF651B895}" xr6:coauthVersionLast="47" xr6:coauthVersionMax="47" xr10:uidLastSave="{BAECDCE9-546A-4B47-9343-CE7FC0B9C7E7}"/>
  <bookViews>
    <workbookView xWindow="-108" yWindow="-108" windowWidth="23256" windowHeight="12456" activeTab="1" xr2:uid="{00000000-000D-0000-FFFF-FFFF00000000}"/>
  </bookViews>
  <sheets>
    <sheet name="Estimate" sheetId="2" r:id="rId1"/>
    <sheet name="Material Take Off" sheetId="3" r:id="rId2"/>
  </sheets>
  <definedNames>
    <definedName name="_xlnm.Print_Area" localSheetId="0">Estimate!$A$1:$D$24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E13" i="3"/>
  <c r="G9" i="3"/>
  <c r="B3" i="3"/>
  <c r="J32" i="2"/>
  <c r="G10" i="3" l="1"/>
  <c r="F14" i="2"/>
  <c r="G12" i="3"/>
  <c r="G11" i="3"/>
  <c r="G15" i="3" l="1"/>
  <c r="D12" i="2" s="1"/>
  <c r="P7" i="3"/>
  <c r="P9" i="3"/>
  <c r="P8" i="3"/>
  <c r="B6" i="3"/>
  <c r="P13" i="3"/>
  <c r="P12" i="3"/>
  <c r="B28" i="3"/>
  <c r="H3" i="3"/>
  <c r="K3" i="3"/>
  <c r="B7" i="2"/>
  <c r="E13" i="2" l="1"/>
  <c r="D13" i="2"/>
  <c r="D19" i="2" s="1"/>
  <c r="D20" i="2" s="1"/>
  <c r="F13" i="2" l="1"/>
  <c r="D21" i="2"/>
</calcChain>
</file>

<file path=xl/sharedStrings.xml><?xml version="1.0" encoding="utf-8"?>
<sst xmlns="http://schemas.openxmlformats.org/spreadsheetml/2006/main" count="97" uniqueCount="79">
  <si>
    <t>Contact</t>
  </si>
  <si>
    <t>Project:</t>
  </si>
  <si>
    <t>Location:</t>
  </si>
  <si>
    <t>#1</t>
  </si>
  <si>
    <t>RFP TOTAL</t>
  </si>
  <si>
    <t>RFP ITEMS</t>
  </si>
  <si>
    <t>Brandon Clymer</t>
  </si>
  <si>
    <t>317-760-0088</t>
  </si>
  <si>
    <t>Insurance</t>
  </si>
  <si>
    <t>Fee</t>
  </si>
  <si>
    <t>Contingency</t>
  </si>
  <si>
    <t>Alternates</t>
  </si>
  <si>
    <t>bclymer@alleatogroup.com</t>
  </si>
  <si>
    <t>#2</t>
  </si>
  <si>
    <t>The Alleato Group  .  8383 Craig St #150  .  Indianapolis, IN  .  46250</t>
  </si>
  <si>
    <t>#3</t>
  </si>
  <si>
    <t>Sprinkler Design</t>
  </si>
  <si>
    <t>General Conditions, Supervision</t>
  </si>
  <si>
    <t>Material</t>
  </si>
  <si>
    <t>Labor</t>
  </si>
  <si>
    <t>Rate</t>
  </si>
  <si>
    <t>Hours</t>
  </si>
  <si>
    <t xml:space="preserve">Total </t>
  </si>
  <si>
    <t>Equipment</t>
  </si>
  <si>
    <t>Duration</t>
  </si>
  <si>
    <t>Heads</t>
  </si>
  <si>
    <t>Glue</t>
  </si>
  <si>
    <t>Hangers</t>
  </si>
  <si>
    <t>3" Bulk</t>
  </si>
  <si>
    <t>Riser</t>
  </si>
  <si>
    <t>3" Couplings</t>
  </si>
  <si>
    <t>2" Couplings</t>
  </si>
  <si>
    <t>2" Fab Pipe</t>
  </si>
  <si>
    <t xml:space="preserve">3" - 2" M-Ts </t>
  </si>
  <si>
    <t>Qty</t>
  </si>
  <si>
    <t>ea</t>
  </si>
  <si>
    <t>lf</t>
  </si>
  <si>
    <t xml:space="preserve">2" 90s </t>
  </si>
  <si>
    <t>3" caps</t>
  </si>
  <si>
    <t>2" Caps</t>
  </si>
  <si>
    <t>6" bulk</t>
  </si>
  <si>
    <t>6" 90s</t>
  </si>
  <si>
    <t>6" end cap</t>
  </si>
  <si>
    <t xml:space="preserve">Core and Main </t>
  </si>
  <si>
    <t>Ferguson</t>
  </si>
  <si>
    <t>lot</t>
  </si>
  <si>
    <t>Total</t>
  </si>
  <si>
    <t>6" Couplings</t>
  </si>
  <si>
    <t xml:space="preserve">2" Slick Pipe </t>
  </si>
  <si>
    <t>Furnsih and install Sprinkler System for Exotec</t>
  </si>
  <si>
    <t>Base</t>
  </si>
  <si>
    <t>Bulk Main</t>
  </si>
  <si>
    <t>Legacy (Heads)</t>
  </si>
  <si>
    <t>Fabrication</t>
  </si>
  <si>
    <t>Loose</t>
  </si>
  <si>
    <t>Viking</t>
  </si>
  <si>
    <t>VK300</t>
  </si>
  <si>
    <t>VK302</t>
  </si>
  <si>
    <t>Tyco</t>
  </si>
  <si>
    <t>TY7151</t>
  </si>
  <si>
    <t>TY5151</t>
  </si>
  <si>
    <t>Reliable</t>
  </si>
  <si>
    <t>F1FR56</t>
  </si>
  <si>
    <t>F1FR42</t>
  </si>
  <si>
    <t>Victaulic</t>
  </si>
  <si>
    <t>V27</t>
  </si>
  <si>
    <t>Globe</t>
  </si>
  <si>
    <t>GL-QR 112</t>
  </si>
  <si>
    <t>Senju</t>
  </si>
  <si>
    <t>S3VK11</t>
  </si>
  <si>
    <t>Super</t>
  </si>
  <si>
    <t>Travel</t>
  </si>
  <si>
    <t>PM</t>
  </si>
  <si>
    <t>Truck</t>
  </si>
  <si>
    <t>Superior Beverage Exotec</t>
  </si>
  <si>
    <t>Glenwillow, OH</t>
  </si>
  <si>
    <t>8 wk duration</t>
  </si>
  <si>
    <t>20 wk duration</t>
  </si>
  <si>
    <t>15 wk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</si>
</sst>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mm/dd/yy;@"/>
    <numFmt numFmtId="165" formatCode="_(&quot;$&quot;* #,##0.00_);_(&quot;$&quot;* \(#,##0.00\);_(&quot;$&quot;* &quot;-&quot;_);_(@_)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20"/>
      <color theme="1"/>
      <name val="Cambria"/>
      <family val="1"/>
      <scheme val="maj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u/>
      <sz val="11"/>
      <color theme="10"/>
      <name val="Cambria"/>
      <family val="1"/>
      <scheme val="major"/>
    </font>
    <font>
      <b/>
      <sz val="9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auto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5">
    <xf numFmtId="0" fontId="0" fillId="0" borderId="0"/>
    <xf numFmtId="0" fontId="2" fillId="0" borderId="0"/>
    <xf numFmtId="4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44" fontId="12" fillId="0" borderId="0" applyFont="0" applyFill="0" applyBorder="0" applyAlignment="0" applyProtection="0"/>
  </cellStyleXfs>
  <cellXfs count="67">
    <xf numFmtId="0" fontId="0" fillId="0" borderId="0" xfId="0"/>
    <xf numFmtId="164" fontId="1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/>
    <xf numFmtId="0" fontId="4" fillId="0" borderId="0" xfId="0" applyFont="1"/>
    <xf numFmtId="0" fontId="4" fillId="0" borderId="5" xfId="0" applyFont="1" applyBorder="1"/>
    <xf numFmtId="42" fontId="8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8" fillId="0" borderId="0" xfId="0" applyFont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8" fillId="0" borderId="10" xfId="0" applyFont="1" applyBorder="1" applyAlignment="1">
      <alignment horizontal="left"/>
    </xf>
    <xf numFmtId="42" fontId="8" fillId="0" borderId="11" xfId="0" applyNumberFormat="1" applyFont="1" applyBorder="1" applyAlignment="1">
      <alignment horizontal="right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0" fillId="0" borderId="7" xfId="3" applyFont="1" applyBorder="1"/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/>
    <xf numFmtId="0" fontId="8" fillId="0" borderId="12" xfId="0" applyFont="1" applyBorder="1" applyAlignment="1">
      <alignment horizontal="center"/>
    </xf>
    <xf numFmtId="44" fontId="8" fillId="0" borderId="13" xfId="0" applyNumberFormat="1" applyFont="1" applyBorder="1"/>
    <xf numFmtId="0" fontId="9" fillId="0" borderId="12" xfId="0" applyFont="1" applyBorder="1" applyAlignment="1">
      <alignment horizontal="center" vertical="center"/>
    </xf>
    <xf numFmtId="0" fontId="9" fillId="0" borderId="0" xfId="0" applyFont="1"/>
    <xf numFmtId="0" fontId="8" fillId="0" borderId="13" xfId="0" applyFont="1" applyBorder="1"/>
    <xf numFmtId="0" fontId="9" fillId="0" borderId="12" xfId="0" applyFont="1" applyBorder="1" applyAlignment="1">
      <alignment horizontal="center"/>
    </xf>
    <xf numFmtId="0" fontId="15" fillId="0" borderId="0" xfId="0" applyFont="1" applyAlignment="1">
      <alignment horizontal="right"/>
    </xf>
    <xf numFmtId="0" fontId="6" fillId="0" borderId="0" xfId="3" applyAlignment="1">
      <alignment horizontal="center" vertical="center"/>
    </xf>
    <xf numFmtId="44" fontId="0" fillId="0" borderId="0" xfId="4" applyFont="1"/>
    <xf numFmtId="44" fontId="0" fillId="0" borderId="0" xfId="0" applyNumberFormat="1"/>
    <xf numFmtId="165" fontId="8" fillId="0" borderId="13" xfId="0" applyNumberFormat="1" applyFont="1" applyBorder="1"/>
    <xf numFmtId="165" fontId="14" fillId="0" borderId="13" xfId="0" applyNumberFormat="1" applyFont="1" applyBorder="1"/>
    <xf numFmtId="165" fontId="8" fillId="0" borderId="13" xfId="0" applyNumberFormat="1" applyFont="1" applyBorder="1" applyAlignment="1">
      <alignment horizontal="right"/>
    </xf>
    <xf numFmtId="165" fontId="8" fillId="0" borderId="13" xfId="4" applyNumberFormat="1" applyFont="1" applyFill="1" applyBorder="1" applyAlignment="1">
      <alignment horizontal="right"/>
    </xf>
    <xf numFmtId="0" fontId="0" fillId="0" borderId="0" xfId="4" applyNumberFormat="1" applyFont="1"/>
    <xf numFmtId="44" fontId="7" fillId="0" borderId="0" xfId="0" applyNumberFormat="1" applyFont="1"/>
    <xf numFmtId="0" fontId="6" fillId="0" borderId="0" xfId="3"/>
    <xf numFmtId="0" fontId="17" fillId="0" borderId="0" xfId="0" applyFont="1"/>
    <xf numFmtId="44" fontId="17" fillId="0" borderId="0" xfId="4" applyFont="1"/>
    <xf numFmtId="165" fontId="8" fillId="0" borderId="0" xfId="0" applyNumberFormat="1" applyFont="1" applyAlignment="1">
      <alignment horizontal="right"/>
    </xf>
    <xf numFmtId="165" fontId="8" fillId="0" borderId="0" xfId="0" applyNumberFormat="1" applyFont="1"/>
    <xf numFmtId="0" fontId="0" fillId="0" borderId="15" xfId="0" applyBorder="1"/>
    <xf numFmtId="44" fontId="18" fillId="0" borderId="0" xfId="4" applyFont="1"/>
    <xf numFmtId="0" fontId="8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13" xfId="0" applyFont="1" applyBorder="1" applyAlignment="1">
      <alignment horizontal="left"/>
    </xf>
    <xf numFmtId="0" fontId="13" fillId="0" borderId="0" xfId="0" applyFont="1" applyAlignment="1">
      <alignment horizontal="right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8" fillId="0" borderId="0" xfId="0" applyFont="1"/>
    <xf numFmtId="0" fontId="5" fillId="0" borderId="14" xfId="0" applyFont="1" applyBorder="1" applyAlignment="1">
      <alignment horizontal="center"/>
    </xf>
  </cellXfs>
  <cellStyles count="5">
    <cellStyle name="Currency" xfId="4" builtinId="4"/>
    <cellStyle name="Currency 2" xfId="2" xr:uid="{00000000-0005-0000-0000-000001000000}"/>
    <cellStyle name="Hyperlink" xfId="3" builtinId="8"/>
    <cellStyle name="Normal" xfId="0" builtinId="0"/>
    <cellStyle name="Normal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1272095</xdr:colOff>
      <xdr:row>0</xdr:row>
      <xdr:rowOff>39077</xdr:rowOff>
    </xdr:from>
    <xdr:to>
      <xdr:col>2</xdr:col>
      <xdr:colOff>2193192</xdr:colOff>
      <xdr:row>0</xdr:row>
      <xdr:rowOff>781538</xdr:rowOff>
    </xdr:to>
    <xdr:pic>
      <xdr:nvPicPr>
        <xdr:cNvPr id="3" name="Picture 2" descr="A picture containing text, clipart, sign&#10;&#10;Description automatically generated">
          <a:extLst>
            <a:ext uri="{FF2B5EF4-FFF2-40B4-BE49-F238E27FC236}">
              <a16:creationId xmlns:a16="http://schemas.microsoft.com/office/drawing/2014/main" id="{0366B2F9-C9D0-442A-A61C-AB8EE70BB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1057" y="39077"/>
          <a:ext cx="2757712" cy="7424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clymer@alleatogroup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9"/>
  <sheetViews>
    <sheetView topLeftCell="B8" zoomScale="120" zoomScaleNormal="120" workbookViewId="0">
      <selection activeCell="J22" sqref="J22"/>
    </sheetView>
  </sheetViews>
  <sheetFormatPr defaultRowHeight="14.4" x14ac:dyDescent="0.3"/>
  <cols>
    <col min="1" max="1" width="9.6640625" style="7" customWidth="1"/>
    <col min="2" max="2" width="26.33203125" customWidth="1"/>
    <col min="3" max="3" width="49.33203125" customWidth="1"/>
    <col min="4" max="4" width="17.5546875" bestFit="1" customWidth="1"/>
    <col min="5" max="5" width="13" bestFit="1" customWidth="1"/>
    <col min="6" max="6" width="13.5546875" bestFit="1" customWidth="1"/>
    <col min="10" max="10" width="14.33203125" bestFit="1" customWidth="1"/>
    <col min="11" max="11" width="13.21875" customWidth="1"/>
  </cols>
  <sheetData>
    <row r="1" spans="1:12" ht="63.75" customHeight="1" x14ac:dyDescent="0.3">
      <c r="A1" s="52"/>
      <c r="B1" s="53"/>
      <c r="C1" s="53"/>
      <c r="D1" s="53"/>
    </row>
    <row r="2" spans="1:12" ht="25.2" thickBot="1" x14ac:dyDescent="0.45">
      <c r="A2" s="66" t="s">
        <v>74</v>
      </c>
      <c r="B2" s="66"/>
      <c r="C2" s="66"/>
      <c r="D2" s="1">
        <v>46094</v>
      </c>
    </row>
    <row r="3" spans="1:12" ht="19.5" customHeight="1" thickTop="1" x14ac:dyDescent="0.3">
      <c r="A3" s="54" t="s">
        <v>14</v>
      </c>
      <c r="B3" s="55"/>
      <c r="C3" s="55"/>
      <c r="D3" s="56"/>
    </row>
    <row r="4" spans="1:12" ht="10.5" customHeight="1" x14ac:dyDescent="0.3">
      <c r="A4" s="57"/>
      <c r="B4" s="58"/>
      <c r="C4" s="4"/>
      <c r="D4" s="5"/>
    </row>
    <row r="5" spans="1:12" ht="15" thickBot="1" x14ac:dyDescent="0.35">
      <c r="A5" s="13" t="s">
        <v>0</v>
      </c>
      <c r="B5" s="14" t="s">
        <v>6</v>
      </c>
      <c r="C5" s="30" t="s">
        <v>12</v>
      </c>
      <c r="D5" s="15" t="s">
        <v>7</v>
      </c>
    </row>
    <row r="6" spans="1:12" x14ac:dyDescent="0.3">
      <c r="A6" s="16"/>
      <c r="B6" s="17"/>
      <c r="C6" s="18"/>
      <c r="D6" s="19"/>
    </row>
    <row r="7" spans="1:12" x14ac:dyDescent="0.3">
      <c r="A7" s="20" t="s">
        <v>1</v>
      </c>
      <c r="B7" s="59" t="str">
        <f>A2</f>
        <v>Superior Beverage Exotec</v>
      </c>
      <c r="C7" s="59"/>
      <c r="D7" s="60"/>
    </row>
    <row r="8" spans="1:12" x14ac:dyDescent="0.3">
      <c r="A8" s="20" t="s">
        <v>2</v>
      </c>
      <c r="B8" s="59" t="s">
        <v>75</v>
      </c>
      <c r="C8" s="59"/>
      <c r="D8" s="60"/>
    </row>
    <row r="9" spans="1:12" ht="15" customHeight="1" x14ac:dyDescent="0.3">
      <c r="A9" s="21"/>
      <c r="D9" s="22"/>
    </row>
    <row r="10" spans="1:12" ht="12.9" customHeight="1" x14ac:dyDescent="0.3">
      <c r="A10" s="23"/>
      <c r="B10" s="8"/>
      <c r="C10" s="8"/>
      <c r="D10" s="24"/>
    </row>
    <row r="11" spans="1:12" ht="12.9" customHeight="1" x14ac:dyDescent="0.3">
      <c r="A11" s="25" t="s">
        <v>5</v>
      </c>
      <c r="B11" s="26"/>
      <c r="C11" s="8"/>
      <c r="D11" s="27"/>
    </row>
    <row r="12" spans="1:12" ht="12.9" customHeight="1" x14ac:dyDescent="0.3">
      <c r="A12" s="28" t="s">
        <v>3</v>
      </c>
      <c r="B12" s="65" t="s">
        <v>17</v>
      </c>
      <c r="C12" s="65"/>
      <c r="D12" s="33">
        <f>SUM('Material Take Off'!G15)</f>
        <v>178920</v>
      </c>
      <c r="E12" s="31"/>
      <c r="F12" s="32"/>
    </row>
    <row r="13" spans="1:12" ht="12.9" customHeight="1" x14ac:dyDescent="0.3">
      <c r="A13" s="28" t="s">
        <v>13</v>
      </c>
      <c r="B13" s="65" t="s">
        <v>49</v>
      </c>
      <c r="C13" s="65"/>
      <c r="D13" s="33">
        <f>SUM('Material Take Off'!B6)</f>
        <v>1016918</v>
      </c>
      <c r="E13" s="43">
        <f>SUM('Material Take Off'!C6)</f>
        <v>0</v>
      </c>
      <c r="F13" s="42">
        <f>SUM(D13-E13)</f>
        <v>1016918</v>
      </c>
      <c r="J13" s="8"/>
      <c r="K13" s="8"/>
      <c r="L13" s="6"/>
    </row>
    <row r="14" spans="1:12" ht="12.9" customHeight="1" x14ac:dyDescent="0.3">
      <c r="A14" s="28" t="s">
        <v>15</v>
      </c>
      <c r="B14" s="46" t="s">
        <v>16</v>
      </c>
      <c r="C14" s="46"/>
      <c r="D14" s="35">
        <v>145000</v>
      </c>
      <c r="E14" s="42"/>
      <c r="F14" s="42">
        <f>SUM(D14-E14)</f>
        <v>145000</v>
      </c>
      <c r="J14" s="46"/>
      <c r="K14" s="46"/>
      <c r="L14" s="6"/>
    </row>
    <row r="15" spans="1:12" ht="12.9" customHeight="1" x14ac:dyDescent="0.3">
      <c r="A15" s="28"/>
      <c r="B15" s="65"/>
      <c r="C15" s="65"/>
      <c r="D15" s="35"/>
      <c r="E15" s="31"/>
    </row>
    <row r="16" spans="1:12" ht="12.9" customHeight="1" x14ac:dyDescent="0.3">
      <c r="A16" s="28"/>
      <c r="B16" s="46"/>
      <c r="C16" s="46"/>
      <c r="D16" s="35"/>
    </row>
    <row r="17" spans="1:11" ht="12.9" customHeight="1" x14ac:dyDescent="0.3">
      <c r="A17" s="28"/>
      <c r="B17" s="46"/>
      <c r="C17" s="46"/>
      <c r="D17" s="36"/>
    </row>
    <row r="18" spans="1:11" ht="12.9" hidden="1" customHeight="1" x14ac:dyDescent="0.3">
      <c r="A18" s="28"/>
      <c r="B18" s="47" t="s">
        <v>10</v>
      </c>
      <c r="C18" s="47"/>
      <c r="D18" s="33">
        <v>0</v>
      </c>
    </row>
    <row r="19" spans="1:11" x14ac:dyDescent="0.3">
      <c r="A19" s="28"/>
      <c r="B19" s="47" t="s">
        <v>8</v>
      </c>
      <c r="C19" s="47"/>
      <c r="D19" s="33">
        <f>ROUNDUP(SUM(D12:D18)*0.0125,0)</f>
        <v>16761</v>
      </c>
    </row>
    <row r="20" spans="1:11" x14ac:dyDescent="0.3">
      <c r="A20" s="28"/>
      <c r="B20" s="29"/>
      <c r="C20" s="29" t="s">
        <v>9</v>
      </c>
      <c r="D20" s="33">
        <f>ROUNDUP(SUM(D12:D19)*0.1,0)</f>
        <v>135760</v>
      </c>
      <c r="F20" s="32"/>
    </row>
    <row r="21" spans="1:11" ht="15.6" x14ac:dyDescent="0.3">
      <c r="A21" s="28"/>
      <c r="B21" s="61" t="s">
        <v>4</v>
      </c>
      <c r="C21" s="61"/>
      <c r="D21" s="34">
        <f>SUM(D12:D20)</f>
        <v>1493359</v>
      </c>
      <c r="J21" s="45">
        <v>1407956</v>
      </c>
      <c r="K21" t="s">
        <v>76</v>
      </c>
    </row>
    <row r="22" spans="1:11" ht="15.75" customHeight="1" thickBot="1" x14ac:dyDescent="0.35">
      <c r="A22" s="62"/>
      <c r="B22" s="63"/>
      <c r="C22" s="63"/>
      <c r="D22" s="64"/>
      <c r="J22" s="45">
        <v>1507593</v>
      </c>
      <c r="K22" t="s">
        <v>78</v>
      </c>
    </row>
    <row r="23" spans="1:11" ht="15.75" hidden="1" customHeight="1" x14ac:dyDescent="0.3">
      <c r="A23" s="48" t="s">
        <v>11</v>
      </c>
      <c r="B23" s="49"/>
      <c r="C23" s="9"/>
      <c r="D23" s="10"/>
    </row>
    <row r="24" spans="1:11" ht="15" hidden="1" thickBot="1" x14ac:dyDescent="0.35">
      <c r="A24" s="50">
        <v>1</v>
      </c>
      <c r="B24" s="51"/>
      <c r="C24" s="11"/>
      <c r="D24" s="12"/>
    </row>
    <row r="25" spans="1:11" hidden="1" x14ac:dyDescent="0.3">
      <c r="A25" s="2"/>
      <c r="B25" s="3"/>
      <c r="C25" s="3"/>
      <c r="D25" s="3"/>
    </row>
    <row r="26" spans="1:11" x14ac:dyDescent="0.3">
      <c r="A26" s="2"/>
      <c r="B26" s="3"/>
      <c r="C26" s="3"/>
      <c r="D26" s="3"/>
      <c r="J26" s="45">
        <v>1578761</v>
      </c>
      <c r="K26" t="s">
        <v>77</v>
      </c>
    </row>
    <row r="27" spans="1:11" x14ac:dyDescent="0.3">
      <c r="A27" s="2"/>
      <c r="B27" s="3"/>
      <c r="C27" s="3"/>
      <c r="D27" s="3"/>
    </row>
    <row r="28" spans="1:11" x14ac:dyDescent="0.3">
      <c r="A28" s="2"/>
      <c r="B28" s="3"/>
      <c r="C28" s="3"/>
      <c r="D28" s="38"/>
    </row>
    <row r="29" spans="1:11" x14ac:dyDescent="0.3">
      <c r="A29" s="2"/>
      <c r="B29" s="3"/>
      <c r="C29" s="3"/>
      <c r="D29" s="3"/>
    </row>
    <row r="30" spans="1:11" x14ac:dyDescent="0.3">
      <c r="A30" s="2"/>
      <c r="B30" s="3"/>
      <c r="C30" s="3"/>
      <c r="D30" s="3"/>
    </row>
    <row r="31" spans="1:11" x14ac:dyDescent="0.3">
      <c r="A31" s="2"/>
      <c r="B31" s="3"/>
      <c r="C31" s="3"/>
      <c r="D31" s="3"/>
    </row>
    <row r="32" spans="1:11" x14ac:dyDescent="0.3">
      <c r="A32" s="2"/>
      <c r="B32" s="3"/>
      <c r="C32" s="3"/>
      <c r="D32" s="3"/>
      <c r="J32" s="32">
        <f>J26-J21</f>
        <v>170805</v>
      </c>
    </row>
    <row r="33" spans="1:4" x14ac:dyDescent="0.3">
      <c r="A33" s="2"/>
      <c r="B33" s="3"/>
      <c r="C33" s="3"/>
      <c r="D33" s="3"/>
    </row>
    <row r="34" spans="1:4" x14ac:dyDescent="0.3">
      <c r="A34" s="2"/>
      <c r="B34" s="3"/>
      <c r="C34" s="3"/>
      <c r="D34" s="3"/>
    </row>
    <row r="35" spans="1:4" x14ac:dyDescent="0.3">
      <c r="A35" s="2"/>
      <c r="B35" s="3"/>
      <c r="C35" s="3"/>
      <c r="D35" s="3"/>
    </row>
    <row r="36" spans="1:4" x14ac:dyDescent="0.3">
      <c r="A36" s="2"/>
      <c r="B36" s="3"/>
      <c r="C36" s="3"/>
      <c r="D36" s="3"/>
    </row>
    <row r="37" spans="1:4" x14ac:dyDescent="0.3">
      <c r="A37" s="2"/>
      <c r="B37" s="3"/>
      <c r="C37" s="3"/>
      <c r="D37" s="3"/>
    </row>
    <row r="38" spans="1:4" x14ac:dyDescent="0.3">
      <c r="A38" s="2"/>
      <c r="B38" s="3"/>
      <c r="C38" s="3"/>
      <c r="D38" s="3"/>
    </row>
    <row r="39" spans="1:4" x14ac:dyDescent="0.3">
      <c r="A39" s="2"/>
      <c r="B39" s="3"/>
      <c r="C39" s="3"/>
      <c r="D39" s="3"/>
    </row>
    <row r="40" spans="1:4" x14ac:dyDescent="0.3">
      <c r="A40" s="2"/>
      <c r="B40" s="3"/>
      <c r="C40" s="3"/>
      <c r="D40" s="3"/>
    </row>
    <row r="41" spans="1:4" x14ac:dyDescent="0.3">
      <c r="A41" s="2"/>
      <c r="B41" s="3"/>
      <c r="C41" s="3"/>
      <c r="D41" s="3"/>
    </row>
    <row r="42" spans="1:4" x14ac:dyDescent="0.3">
      <c r="A42" s="2"/>
      <c r="B42" s="3"/>
      <c r="C42" s="3"/>
      <c r="D42" s="3"/>
    </row>
    <row r="43" spans="1:4" x14ac:dyDescent="0.3">
      <c r="A43" s="2"/>
      <c r="B43" s="3"/>
      <c r="C43" s="3"/>
      <c r="D43" s="3"/>
    </row>
    <row r="44" spans="1:4" x14ac:dyDescent="0.3">
      <c r="A44" s="2"/>
      <c r="B44" s="3"/>
      <c r="C44" s="3"/>
      <c r="D44" s="3"/>
    </row>
    <row r="45" spans="1:4" x14ac:dyDescent="0.3">
      <c r="A45" s="2"/>
      <c r="B45" s="3"/>
      <c r="C45" s="3"/>
      <c r="D45" s="3"/>
    </row>
    <row r="46" spans="1:4" x14ac:dyDescent="0.3">
      <c r="A46" s="2"/>
      <c r="B46" s="3"/>
      <c r="C46" s="3"/>
      <c r="D46" s="3"/>
    </row>
    <row r="47" spans="1:4" x14ac:dyDescent="0.3">
      <c r="A47" s="2"/>
      <c r="B47" s="3"/>
      <c r="C47" s="3"/>
      <c r="D47" s="3"/>
    </row>
    <row r="48" spans="1:4" x14ac:dyDescent="0.3">
      <c r="A48" s="2"/>
      <c r="B48" s="3"/>
      <c r="C48" s="3"/>
      <c r="D48" s="3"/>
    </row>
    <row r="49" spans="1:4" x14ac:dyDescent="0.3">
      <c r="A49" s="2"/>
      <c r="B49" s="3"/>
      <c r="C49" s="3"/>
      <c r="D49" s="3"/>
    </row>
    <row r="50" spans="1:4" x14ac:dyDescent="0.3">
      <c r="A50" s="2"/>
      <c r="B50" s="3"/>
      <c r="C50" s="3"/>
      <c r="D50" s="3"/>
    </row>
    <row r="51" spans="1:4" x14ac:dyDescent="0.3">
      <c r="A51" s="2"/>
      <c r="B51" s="3"/>
      <c r="C51" s="3"/>
      <c r="D51" s="3"/>
    </row>
    <row r="52" spans="1:4" x14ac:dyDescent="0.3">
      <c r="A52" s="2"/>
      <c r="B52" s="3"/>
      <c r="C52" s="3"/>
      <c r="D52" s="3"/>
    </row>
    <row r="53" spans="1:4" x14ac:dyDescent="0.3">
      <c r="A53" s="2"/>
      <c r="B53" s="3"/>
      <c r="C53" s="3"/>
      <c r="D53" s="3"/>
    </row>
    <row r="54" spans="1:4" x14ac:dyDescent="0.3">
      <c r="A54" s="2"/>
      <c r="B54" s="3"/>
      <c r="C54" s="3"/>
      <c r="D54" s="3"/>
    </row>
    <row r="55" spans="1:4" x14ac:dyDescent="0.3">
      <c r="A55" s="2"/>
      <c r="B55" s="3"/>
      <c r="C55" s="3"/>
      <c r="D55" s="3"/>
    </row>
    <row r="56" spans="1:4" x14ac:dyDescent="0.3">
      <c r="A56" s="2"/>
      <c r="B56" s="3"/>
      <c r="C56" s="3"/>
      <c r="D56" s="3"/>
    </row>
    <row r="57" spans="1:4" x14ac:dyDescent="0.3">
      <c r="A57" s="2"/>
      <c r="B57" s="3"/>
      <c r="C57" s="3"/>
      <c r="D57" s="3"/>
    </row>
    <row r="58" spans="1:4" x14ac:dyDescent="0.3">
      <c r="A58" s="2"/>
      <c r="B58" s="3"/>
      <c r="C58" s="3"/>
      <c r="D58" s="3"/>
    </row>
    <row r="59" spans="1:4" x14ac:dyDescent="0.3">
      <c r="A59" s="2"/>
      <c r="B59" s="3"/>
      <c r="C59" s="3"/>
      <c r="D59" s="3"/>
    </row>
    <row r="60" spans="1:4" x14ac:dyDescent="0.3">
      <c r="A60" s="2"/>
      <c r="B60" s="3"/>
      <c r="C60" s="3"/>
      <c r="D60" s="3"/>
    </row>
    <row r="61" spans="1:4" x14ac:dyDescent="0.3">
      <c r="A61" s="2"/>
      <c r="B61" s="3"/>
      <c r="C61" s="3"/>
      <c r="D61" s="3"/>
    </row>
    <row r="62" spans="1:4" x14ac:dyDescent="0.3">
      <c r="A62" s="2"/>
      <c r="B62" s="3"/>
      <c r="C62" s="3"/>
      <c r="D62" s="3"/>
    </row>
    <row r="63" spans="1:4" x14ac:dyDescent="0.3">
      <c r="A63" s="2"/>
      <c r="B63" s="3"/>
      <c r="C63" s="3"/>
      <c r="D63" s="3"/>
    </row>
    <row r="64" spans="1:4" x14ac:dyDescent="0.3">
      <c r="A64" s="2"/>
      <c r="B64" s="3"/>
      <c r="C64" s="3"/>
      <c r="D64" s="3"/>
    </row>
    <row r="65" spans="1:4" x14ac:dyDescent="0.3">
      <c r="A65" s="2"/>
      <c r="B65" s="3"/>
      <c r="C65" s="3"/>
      <c r="D65" s="3"/>
    </row>
    <row r="66" spans="1:4" x14ac:dyDescent="0.3">
      <c r="A66" s="2"/>
      <c r="B66" s="3"/>
      <c r="C66" s="3"/>
      <c r="D66" s="3"/>
    </row>
    <row r="67" spans="1:4" x14ac:dyDescent="0.3">
      <c r="A67" s="2"/>
      <c r="B67" s="3"/>
      <c r="C67" s="3"/>
      <c r="D67" s="3"/>
    </row>
    <row r="68" spans="1:4" x14ac:dyDescent="0.3">
      <c r="A68" s="2"/>
      <c r="B68" s="3"/>
      <c r="C68" s="3"/>
      <c r="D68" s="3"/>
    </row>
    <row r="69" spans="1:4" x14ac:dyDescent="0.3">
      <c r="A69" s="2"/>
      <c r="B69" s="3"/>
      <c r="C69" s="3"/>
      <c r="D69" s="3"/>
    </row>
    <row r="70" spans="1:4" x14ac:dyDescent="0.3">
      <c r="A70" s="2"/>
      <c r="B70" s="3"/>
      <c r="C70" s="3"/>
      <c r="D70" s="3"/>
    </row>
    <row r="71" spans="1:4" x14ac:dyDescent="0.3">
      <c r="A71" s="2"/>
      <c r="B71" s="3"/>
      <c r="C71" s="3"/>
      <c r="D71" s="3"/>
    </row>
    <row r="72" spans="1:4" x14ac:dyDescent="0.3">
      <c r="A72" s="2"/>
      <c r="B72" s="3"/>
      <c r="C72" s="3"/>
      <c r="D72" s="3"/>
    </row>
    <row r="73" spans="1:4" x14ac:dyDescent="0.3">
      <c r="A73" s="2"/>
      <c r="B73" s="3"/>
      <c r="C73" s="3"/>
      <c r="D73" s="3"/>
    </row>
    <row r="74" spans="1:4" x14ac:dyDescent="0.3">
      <c r="A74" s="2"/>
      <c r="B74" s="3"/>
      <c r="C74" s="3"/>
      <c r="D74" s="3"/>
    </row>
    <row r="75" spans="1:4" x14ac:dyDescent="0.3">
      <c r="A75" s="2"/>
      <c r="B75" s="3"/>
      <c r="C75" s="3"/>
      <c r="D75" s="3"/>
    </row>
    <row r="76" spans="1:4" x14ac:dyDescent="0.3">
      <c r="A76" s="2"/>
      <c r="B76" s="3"/>
      <c r="C76" s="3"/>
      <c r="D76" s="3"/>
    </row>
    <row r="77" spans="1:4" x14ac:dyDescent="0.3">
      <c r="A77" s="2"/>
      <c r="B77" s="3"/>
      <c r="C77" s="3"/>
      <c r="D77" s="3"/>
    </row>
    <row r="78" spans="1:4" x14ac:dyDescent="0.3">
      <c r="A78" s="2"/>
      <c r="B78" s="3"/>
      <c r="C78" s="3"/>
      <c r="D78" s="3"/>
    </row>
    <row r="79" spans="1:4" x14ac:dyDescent="0.3">
      <c r="A79" s="2"/>
      <c r="B79" s="3"/>
      <c r="C79" s="3"/>
      <c r="D79" s="3"/>
    </row>
    <row r="80" spans="1:4" x14ac:dyDescent="0.3">
      <c r="A80" s="2"/>
      <c r="B80" s="3"/>
      <c r="C80" s="3"/>
      <c r="D80" s="3"/>
    </row>
    <row r="81" spans="1:4" x14ac:dyDescent="0.3">
      <c r="A81" s="2"/>
      <c r="B81" s="3"/>
      <c r="C81" s="3"/>
      <c r="D81" s="3"/>
    </row>
    <row r="82" spans="1:4" x14ac:dyDescent="0.3">
      <c r="A82" s="2"/>
      <c r="B82" s="3"/>
      <c r="C82" s="3"/>
      <c r="D82" s="3"/>
    </row>
    <row r="83" spans="1:4" x14ac:dyDescent="0.3">
      <c r="A83" s="2"/>
      <c r="B83" s="3"/>
      <c r="C83" s="3"/>
      <c r="D83" s="3"/>
    </row>
    <row r="84" spans="1:4" x14ac:dyDescent="0.3">
      <c r="A84" s="2"/>
      <c r="B84" s="3"/>
      <c r="C84" s="3"/>
      <c r="D84" s="3"/>
    </row>
    <row r="85" spans="1:4" x14ac:dyDescent="0.3">
      <c r="A85" s="2"/>
      <c r="B85" s="3"/>
      <c r="C85" s="3"/>
      <c r="D85" s="3"/>
    </row>
    <row r="86" spans="1:4" x14ac:dyDescent="0.3">
      <c r="A86" s="2"/>
      <c r="B86" s="3"/>
      <c r="C86" s="3"/>
      <c r="D86" s="3"/>
    </row>
    <row r="87" spans="1:4" x14ac:dyDescent="0.3">
      <c r="A87" s="2"/>
      <c r="B87" s="3"/>
      <c r="C87" s="3"/>
      <c r="D87" s="3"/>
    </row>
    <row r="88" spans="1:4" x14ac:dyDescent="0.3">
      <c r="A88" s="2"/>
      <c r="B88" s="3"/>
      <c r="C88" s="3"/>
      <c r="D88" s="3"/>
    </row>
    <row r="89" spans="1:4" x14ac:dyDescent="0.3">
      <c r="A89" s="2"/>
      <c r="B89" s="3"/>
      <c r="C89" s="3"/>
      <c r="D89" s="3"/>
    </row>
    <row r="90" spans="1:4" x14ac:dyDescent="0.3">
      <c r="A90" s="2"/>
      <c r="B90" s="3"/>
      <c r="C90" s="3"/>
      <c r="D90" s="3"/>
    </row>
    <row r="91" spans="1:4" x14ac:dyDescent="0.3">
      <c r="A91" s="2"/>
      <c r="B91" s="3"/>
      <c r="C91" s="3"/>
      <c r="D91" s="3"/>
    </row>
    <row r="92" spans="1:4" x14ac:dyDescent="0.3">
      <c r="A92" s="2"/>
      <c r="B92" s="3"/>
      <c r="C92" s="3"/>
      <c r="D92" s="3"/>
    </row>
    <row r="93" spans="1:4" x14ac:dyDescent="0.3">
      <c r="A93" s="2"/>
      <c r="B93" s="3"/>
      <c r="C93" s="3"/>
      <c r="D93" s="3"/>
    </row>
    <row r="94" spans="1:4" x14ac:dyDescent="0.3">
      <c r="A94" s="2"/>
      <c r="B94" s="3"/>
      <c r="C94" s="3"/>
      <c r="D94" s="3"/>
    </row>
    <row r="95" spans="1:4" x14ac:dyDescent="0.3">
      <c r="A95" s="2"/>
      <c r="B95" s="3"/>
      <c r="C95" s="3"/>
      <c r="D95" s="3"/>
    </row>
    <row r="96" spans="1:4" x14ac:dyDescent="0.3">
      <c r="A96" s="2"/>
      <c r="B96" s="3"/>
      <c r="C96" s="3"/>
      <c r="D96" s="3"/>
    </row>
    <row r="97" spans="1:4" x14ac:dyDescent="0.3">
      <c r="A97" s="2"/>
      <c r="B97" s="3"/>
      <c r="C97" s="3"/>
      <c r="D97" s="3"/>
    </row>
    <row r="98" spans="1:4" x14ac:dyDescent="0.3">
      <c r="A98" s="2"/>
      <c r="B98" s="3"/>
      <c r="C98" s="3"/>
      <c r="D98" s="3"/>
    </row>
    <row r="99" spans="1:4" x14ac:dyDescent="0.3">
      <c r="A99" s="2"/>
      <c r="B99" s="3"/>
      <c r="C99" s="3"/>
      <c r="D99" s="3"/>
    </row>
    <row r="100" spans="1:4" x14ac:dyDescent="0.3">
      <c r="A100" s="2"/>
      <c r="B100" s="3"/>
      <c r="C100" s="3"/>
      <c r="D100" s="3"/>
    </row>
    <row r="101" spans="1:4" x14ac:dyDescent="0.3">
      <c r="A101" s="2"/>
      <c r="B101" s="3"/>
      <c r="C101" s="3"/>
      <c r="D101" s="3"/>
    </row>
    <row r="102" spans="1:4" x14ac:dyDescent="0.3">
      <c r="A102" s="2"/>
      <c r="B102" s="3"/>
      <c r="C102" s="3"/>
      <c r="D102" s="3"/>
    </row>
    <row r="103" spans="1:4" x14ac:dyDescent="0.3">
      <c r="A103" s="2"/>
      <c r="B103" s="3"/>
      <c r="C103" s="3"/>
      <c r="D103" s="3"/>
    </row>
    <row r="104" spans="1:4" x14ac:dyDescent="0.3">
      <c r="A104" s="2"/>
      <c r="B104" s="3"/>
      <c r="C104" s="3"/>
      <c r="D104" s="3"/>
    </row>
    <row r="105" spans="1:4" x14ac:dyDescent="0.3">
      <c r="A105" s="2"/>
      <c r="B105" s="3"/>
      <c r="C105" s="3"/>
      <c r="D105" s="3"/>
    </row>
    <row r="106" spans="1:4" x14ac:dyDescent="0.3">
      <c r="A106" s="2"/>
      <c r="B106" s="3"/>
      <c r="C106" s="3"/>
      <c r="D106" s="3"/>
    </row>
    <row r="107" spans="1:4" x14ac:dyDescent="0.3">
      <c r="A107" s="2"/>
      <c r="B107" s="3"/>
      <c r="C107" s="3"/>
      <c r="D107" s="3"/>
    </row>
    <row r="108" spans="1:4" x14ac:dyDescent="0.3">
      <c r="A108" s="2"/>
      <c r="B108" s="3"/>
      <c r="C108" s="3"/>
      <c r="D108" s="3"/>
    </row>
    <row r="109" spans="1:4" x14ac:dyDescent="0.3">
      <c r="A109" s="2"/>
      <c r="B109" s="3"/>
      <c r="C109" s="3"/>
      <c r="D109" s="3"/>
    </row>
    <row r="110" spans="1:4" x14ac:dyDescent="0.3">
      <c r="A110" s="2"/>
      <c r="B110" s="3"/>
      <c r="C110" s="3"/>
      <c r="D110" s="3"/>
    </row>
    <row r="111" spans="1:4" x14ac:dyDescent="0.3">
      <c r="A111" s="2"/>
      <c r="B111" s="3"/>
      <c r="C111" s="3"/>
      <c r="D111" s="3"/>
    </row>
    <row r="112" spans="1:4" x14ac:dyDescent="0.3">
      <c r="A112" s="2"/>
      <c r="B112" s="3"/>
      <c r="C112" s="3"/>
      <c r="D112" s="3"/>
    </row>
    <row r="113" spans="1:4" x14ac:dyDescent="0.3">
      <c r="A113" s="2"/>
      <c r="B113" s="3"/>
      <c r="C113" s="3"/>
      <c r="D113" s="3"/>
    </row>
    <row r="114" spans="1:4" x14ac:dyDescent="0.3">
      <c r="A114" s="2"/>
      <c r="B114" s="3"/>
      <c r="C114" s="3"/>
      <c r="D114" s="3"/>
    </row>
    <row r="115" spans="1:4" x14ac:dyDescent="0.3">
      <c r="A115" s="2"/>
      <c r="B115" s="3"/>
      <c r="C115" s="3"/>
      <c r="D115" s="3"/>
    </row>
    <row r="116" spans="1:4" x14ac:dyDescent="0.3">
      <c r="A116" s="2"/>
      <c r="B116" s="3"/>
      <c r="C116" s="3"/>
      <c r="D116" s="3"/>
    </row>
    <row r="117" spans="1:4" x14ac:dyDescent="0.3">
      <c r="A117" s="2"/>
      <c r="B117" s="3"/>
      <c r="C117" s="3"/>
      <c r="D117" s="3"/>
    </row>
    <row r="118" spans="1:4" x14ac:dyDescent="0.3">
      <c r="A118" s="2"/>
      <c r="B118" s="3"/>
      <c r="C118" s="3"/>
      <c r="D118" s="3"/>
    </row>
    <row r="119" spans="1:4" x14ac:dyDescent="0.3">
      <c r="A119" s="2"/>
      <c r="B119" s="3"/>
      <c r="C119" s="3"/>
      <c r="D119" s="3"/>
    </row>
    <row r="120" spans="1:4" x14ac:dyDescent="0.3">
      <c r="A120" s="2"/>
      <c r="B120" s="3"/>
      <c r="C120" s="3"/>
      <c r="D120" s="3"/>
    </row>
    <row r="121" spans="1:4" x14ac:dyDescent="0.3">
      <c r="A121" s="2"/>
      <c r="B121" s="3"/>
      <c r="C121" s="3"/>
      <c r="D121" s="3"/>
    </row>
    <row r="122" spans="1:4" x14ac:dyDescent="0.3">
      <c r="A122" s="2"/>
      <c r="B122" s="3"/>
      <c r="C122" s="3"/>
      <c r="D122" s="3"/>
    </row>
    <row r="123" spans="1:4" x14ac:dyDescent="0.3">
      <c r="A123" s="2"/>
      <c r="B123" s="3"/>
      <c r="C123" s="3"/>
      <c r="D123" s="3"/>
    </row>
    <row r="124" spans="1:4" x14ac:dyDescent="0.3">
      <c r="A124" s="2"/>
      <c r="B124" s="3"/>
      <c r="C124" s="3"/>
      <c r="D124" s="3"/>
    </row>
    <row r="125" spans="1:4" x14ac:dyDescent="0.3">
      <c r="A125" s="2"/>
      <c r="B125" s="3"/>
      <c r="C125" s="3"/>
      <c r="D125" s="3"/>
    </row>
    <row r="126" spans="1:4" x14ac:dyDescent="0.3">
      <c r="A126" s="2"/>
      <c r="B126" s="3"/>
      <c r="C126" s="3"/>
      <c r="D126" s="3"/>
    </row>
    <row r="127" spans="1:4" x14ac:dyDescent="0.3">
      <c r="A127" s="2"/>
      <c r="B127" s="3"/>
      <c r="C127" s="3"/>
      <c r="D127" s="3"/>
    </row>
    <row r="128" spans="1:4" x14ac:dyDescent="0.3">
      <c r="A128" s="2"/>
      <c r="B128" s="3"/>
      <c r="C128" s="3"/>
      <c r="D128" s="3"/>
    </row>
    <row r="129" spans="1:4" x14ac:dyDescent="0.3">
      <c r="A129" s="2"/>
      <c r="B129" s="3"/>
      <c r="C129" s="3"/>
      <c r="D129" s="3"/>
    </row>
    <row r="130" spans="1:4" x14ac:dyDescent="0.3">
      <c r="A130" s="2"/>
      <c r="B130" s="3"/>
      <c r="C130" s="3"/>
      <c r="D130" s="3"/>
    </row>
    <row r="131" spans="1:4" x14ac:dyDescent="0.3">
      <c r="A131" s="2"/>
      <c r="B131" s="3"/>
      <c r="C131" s="3"/>
      <c r="D131" s="3"/>
    </row>
    <row r="132" spans="1:4" x14ac:dyDescent="0.3">
      <c r="A132" s="2"/>
      <c r="B132" s="3"/>
      <c r="C132" s="3"/>
      <c r="D132" s="3"/>
    </row>
    <row r="133" spans="1:4" x14ac:dyDescent="0.3">
      <c r="A133" s="2"/>
      <c r="B133" s="3"/>
      <c r="C133" s="3"/>
      <c r="D133" s="3"/>
    </row>
    <row r="134" spans="1:4" x14ac:dyDescent="0.3">
      <c r="A134" s="2"/>
      <c r="B134" s="3"/>
      <c r="C134" s="3"/>
      <c r="D134" s="3"/>
    </row>
    <row r="135" spans="1:4" x14ac:dyDescent="0.3">
      <c r="A135" s="2"/>
      <c r="B135" s="3"/>
      <c r="C135" s="3"/>
      <c r="D135" s="3"/>
    </row>
    <row r="136" spans="1:4" x14ac:dyDescent="0.3">
      <c r="A136" s="2"/>
      <c r="B136" s="3"/>
      <c r="C136" s="3"/>
      <c r="D136" s="3"/>
    </row>
    <row r="137" spans="1:4" x14ac:dyDescent="0.3">
      <c r="A137" s="2"/>
      <c r="B137" s="3"/>
      <c r="C137" s="3"/>
      <c r="D137" s="3"/>
    </row>
    <row r="138" spans="1:4" x14ac:dyDescent="0.3">
      <c r="A138" s="2"/>
      <c r="B138" s="3"/>
      <c r="C138" s="3"/>
      <c r="D138" s="3"/>
    </row>
    <row r="139" spans="1:4" x14ac:dyDescent="0.3">
      <c r="A139" s="2"/>
      <c r="B139" s="3"/>
      <c r="C139" s="3"/>
      <c r="D139" s="3"/>
    </row>
    <row r="140" spans="1:4" x14ac:dyDescent="0.3">
      <c r="A140" s="2"/>
      <c r="B140" s="3"/>
      <c r="C140" s="3"/>
      <c r="D140" s="3"/>
    </row>
    <row r="141" spans="1:4" x14ac:dyDescent="0.3">
      <c r="A141" s="2"/>
      <c r="B141" s="3"/>
      <c r="C141" s="3"/>
      <c r="D141" s="3"/>
    </row>
    <row r="142" spans="1:4" x14ac:dyDescent="0.3">
      <c r="A142" s="2"/>
      <c r="B142" s="3"/>
      <c r="C142" s="3"/>
      <c r="D142" s="3"/>
    </row>
    <row r="143" spans="1:4" x14ac:dyDescent="0.3">
      <c r="A143" s="2"/>
      <c r="B143" s="3"/>
      <c r="C143" s="3"/>
      <c r="D143" s="3"/>
    </row>
    <row r="144" spans="1:4" x14ac:dyDescent="0.3">
      <c r="A144" s="2"/>
      <c r="B144" s="3"/>
      <c r="C144" s="3"/>
      <c r="D144" s="3"/>
    </row>
    <row r="145" spans="1:4" x14ac:dyDescent="0.3">
      <c r="A145" s="2"/>
      <c r="B145" s="3"/>
      <c r="C145" s="3"/>
      <c r="D145" s="3"/>
    </row>
    <row r="146" spans="1:4" x14ac:dyDescent="0.3">
      <c r="A146" s="2"/>
      <c r="B146" s="3"/>
      <c r="C146" s="3"/>
      <c r="D146" s="3"/>
    </row>
    <row r="147" spans="1:4" x14ac:dyDescent="0.3">
      <c r="A147" s="2"/>
      <c r="B147" s="3"/>
      <c r="C147" s="3"/>
      <c r="D147" s="3"/>
    </row>
    <row r="148" spans="1:4" x14ac:dyDescent="0.3">
      <c r="A148" s="2"/>
      <c r="B148" s="3"/>
      <c r="C148" s="3"/>
      <c r="D148" s="3"/>
    </row>
    <row r="149" spans="1:4" x14ac:dyDescent="0.3">
      <c r="A149" s="2"/>
      <c r="B149" s="3"/>
      <c r="C149" s="3"/>
      <c r="D149" s="3"/>
    </row>
    <row r="150" spans="1:4" x14ac:dyDescent="0.3">
      <c r="A150" s="2"/>
      <c r="B150" s="3"/>
      <c r="C150" s="3"/>
      <c r="D150" s="3"/>
    </row>
    <row r="151" spans="1:4" x14ac:dyDescent="0.3">
      <c r="A151" s="2"/>
      <c r="B151" s="3"/>
      <c r="C151" s="3"/>
      <c r="D151" s="3"/>
    </row>
    <row r="152" spans="1:4" x14ac:dyDescent="0.3">
      <c r="A152" s="2"/>
      <c r="B152" s="3"/>
      <c r="C152" s="3"/>
      <c r="D152" s="3"/>
    </row>
    <row r="153" spans="1:4" x14ac:dyDescent="0.3">
      <c r="A153" s="2"/>
      <c r="B153" s="3"/>
      <c r="C153" s="3"/>
      <c r="D153" s="3"/>
    </row>
    <row r="154" spans="1:4" x14ac:dyDescent="0.3">
      <c r="A154" s="2"/>
      <c r="B154" s="3"/>
      <c r="C154" s="3"/>
      <c r="D154" s="3"/>
    </row>
    <row r="155" spans="1:4" x14ac:dyDescent="0.3">
      <c r="A155" s="2"/>
      <c r="B155" s="3"/>
      <c r="C155" s="3"/>
      <c r="D155" s="3"/>
    </row>
    <row r="156" spans="1:4" x14ac:dyDescent="0.3">
      <c r="A156" s="2"/>
      <c r="B156" s="3"/>
      <c r="C156" s="3"/>
      <c r="D156" s="3"/>
    </row>
    <row r="157" spans="1:4" x14ac:dyDescent="0.3">
      <c r="A157" s="2"/>
      <c r="B157" s="3"/>
      <c r="C157" s="3"/>
      <c r="D157" s="3"/>
    </row>
    <row r="158" spans="1:4" x14ac:dyDescent="0.3">
      <c r="A158" s="2"/>
      <c r="B158" s="3"/>
      <c r="C158" s="3"/>
      <c r="D158" s="3"/>
    </row>
    <row r="159" spans="1:4" x14ac:dyDescent="0.3">
      <c r="A159" s="2"/>
      <c r="B159" s="3"/>
      <c r="C159" s="3"/>
      <c r="D159" s="3"/>
    </row>
    <row r="160" spans="1:4" x14ac:dyDescent="0.3">
      <c r="A160" s="2"/>
      <c r="B160" s="3"/>
      <c r="C160" s="3"/>
      <c r="D160" s="3"/>
    </row>
    <row r="161" spans="1:4" x14ac:dyDescent="0.3">
      <c r="A161" s="2"/>
      <c r="B161" s="3"/>
      <c r="C161" s="3"/>
      <c r="D161" s="3"/>
    </row>
    <row r="162" spans="1:4" x14ac:dyDescent="0.3">
      <c r="A162" s="2"/>
      <c r="B162" s="3"/>
      <c r="C162" s="3"/>
      <c r="D162" s="3"/>
    </row>
    <row r="163" spans="1:4" x14ac:dyDescent="0.3">
      <c r="A163" s="2"/>
      <c r="B163" s="3"/>
      <c r="C163" s="3"/>
      <c r="D163" s="3"/>
    </row>
    <row r="164" spans="1:4" x14ac:dyDescent="0.3">
      <c r="A164" s="2"/>
      <c r="B164" s="3"/>
      <c r="C164" s="3"/>
      <c r="D164" s="3"/>
    </row>
    <row r="165" spans="1:4" x14ac:dyDescent="0.3">
      <c r="A165" s="2"/>
      <c r="B165" s="3"/>
      <c r="C165" s="3"/>
      <c r="D165" s="3"/>
    </row>
    <row r="166" spans="1:4" x14ac:dyDescent="0.3">
      <c r="A166" s="2"/>
      <c r="B166" s="3"/>
      <c r="C166" s="3"/>
      <c r="D166" s="3"/>
    </row>
    <row r="167" spans="1:4" x14ac:dyDescent="0.3">
      <c r="A167" s="2"/>
      <c r="B167" s="3"/>
      <c r="C167" s="3"/>
      <c r="D167" s="3"/>
    </row>
    <row r="168" spans="1:4" x14ac:dyDescent="0.3">
      <c r="A168" s="2"/>
      <c r="B168" s="3"/>
      <c r="C168" s="3"/>
      <c r="D168" s="3"/>
    </row>
    <row r="169" spans="1:4" x14ac:dyDescent="0.3">
      <c r="A169" s="2"/>
      <c r="B169" s="3"/>
      <c r="C169" s="3"/>
      <c r="D169" s="3"/>
    </row>
    <row r="170" spans="1:4" x14ac:dyDescent="0.3">
      <c r="A170" s="2"/>
      <c r="B170" s="3"/>
      <c r="C170" s="3"/>
      <c r="D170" s="3"/>
    </row>
    <row r="171" spans="1:4" x14ac:dyDescent="0.3">
      <c r="A171" s="2"/>
      <c r="B171" s="3"/>
      <c r="C171" s="3"/>
      <c r="D171" s="3"/>
    </row>
    <row r="172" spans="1:4" x14ac:dyDescent="0.3">
      <c r="A172" s="2"/>
      <c r="B172" s="3"/>
      <c r="C172" s="3"/>
      <c r="D172" s="3"/>
    </row>
    <row r="173" spans="1:4" x14ac:dyDescent="0.3">
      <c r="A173" s="2"/>
      <c r="B173" s="3"/>
      <c r="C173" s="3"/>
      <c r="D173" s="3"/>
    </row>
    <row r="174" spans="1:4" x14ac:dyDescent="0.3">
      <c r="A174" s="2"/>
      <c r="B174" s="3"/>
      <c r="C174" s="3"/>
      <c r="D174" s="3"/>
    </row>
    <row r="175" spans="1:4" x14ac:dyDescent="0.3">
      <c r="A175" s="2"/>
      <c r="B175" s="3"/>
      <c r="C175" s="3"/>
      <c r="D175" s="3"/>
    </row>
    <row r="176" spans="1:4" x14ac:dyDescent="0.3">
      <c r="A176" s="2"/>
      <c r="B176" s="3"/>
      <c r="C176" s="3"/>
      <c r="D176" s="3"/>
    </row>
    <row r="177" spans="1:4" x14ac:dyDescent="0.3">
      <c r="A177" s="2"/>
      <c r="B177" s="3"/>
      <c r="C177" s="3"/>
      <c r="D177" s="3"/>
    </row>
    <row r="178" spans="1:4" x14ac:dyDescent="0.3">
      <c r="A178" s="2"/>
      <c r="B178" s="3"/>
      <c r="C178" s="3"/>
      <c r="D178" s="3"/>
    </row>
    <row r="179" spans="1:4" x14ac:dyDescent="0.3">
      <c r="A179" s="2"/>
      <c r="B179" s="3"/>
      <c r="C179" s="3"/>
      <c r="D179" s="3"/>
    </row>
  </sheetData>
  <mergeCells count="19">
    <mergeCell ref="A23:B23"/>
    <mergeCell ref="A24:B24"/>
    <mergeCell ref="A1:D1"/>
    <mergeCell ref="A3:D3"/>
    <mergeCell ref="A4:B4"/>
    <mergeCell ref="B7:D7"/>
    <mergeCell ref="B21:C21"/>
    <mergeCell ref="A22:D22"/>
    <mergeCell ref="B13:C13"/>
    <mergeCell ref="B15:C15"/>
    <mergeCell ref="B8:D8"/>
    <mergeCell ref="B14:C14"/>
    <mergeCell ref="A2:C2"/>
    <mergeCell ref="B12:C12"/>
    <mergeCell ref="J14:K14"/>
    <mergeCell ref="B17:C17"/>
    <mergeCell ref="B18:C18"/>
    <mergeCell ref="B19:C19"/>
    <mergeCell ref="B16:C16"/>
  </mergeCells>
  <phoneticPr fontId="16" type="noConversion"/>
  <hyperlinks>
    <hyperlink ref="C5" r:id="rId1" display="mailto:bclymer@alleatogroup.com" xr:uid="{87EFEA85-6453-4331-9AB9-BC1EA98F22CD}"/>
  </hyperlinks>
  <pageMargins left="0.7" right="0.7" top="0.75" bottom="0.75" header="0.3" footer="0.3"/>
  <pageSetup scale="89" orientation="portrait" horizontalDpi="2400" verticalDpi="2400" r:id="rId2"/>
  <headerFooter>
    <oddFooter>1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3"/>
  <sheetViews>
    <sheetView tabSelected="1" workbookViewId="0">
      <selection activeCell="I22" sqref="I22"/>
    </sheetView>
  </sheetViews>
  <sheetFormatPr defaultRowHeight="14.4" x14ac:dyDescent="0.3"/>
  <cols>
    <col min="1" max="1" width="12" bestFit="1" customWidth="1"/>
    <col min="2" max="2" width="14.33203125" style="31" bestFit="1" customWidth="1"/>
    <col min="3" max="3" width="12.33203125" customWidth="1"/>
    <col min="4" max="4" width="12.6640625" style="31" bestFit="1" customWidth="1"/>
    <col min="5" max="5" width="12.5546875" style="31" bestFit="1" customWidth="1"/>
    <col min="7" max="7" width="12.5546875" style="31" bestFit="1" customWidth="1"/>
    <col min="8" max="8" width="16.109375" bestFit="1" customWidth="1"/>
    <col min="11" max="11" width="11.5546875" bestFit="1" customWidth="1"/>
    <col min="13" max="13" width="14.33203125" bestFit="1" customWidth="1"/>
    <col min="14" max="14" width="12.33203125" style="31" bestFit="1" customWidth="1"/>
    <col min="15" max="15" width="11.6640625" style="31" bestFit="1" customWidth="1"/>
    <col min="16" max="16" width="12.5546875" style="31" bestFit="1" customWidth="1"/>
    <col min="17" max="17" width="12.44140625" bestFit="1" customWidth="1"/>
    <col min="18" max="18" width="48" bestFit="1" customWidth="1"/>
    <col min="19" max="19" width="26.6640625" bestFit="1" customWidth="1"/>
    <col min="20" max="20" width="36.33203125" bestFit="1" customWidth="1"/>
  </cols>
  <sheetData>
    <row r="1" spans="1:16" x14ac:dyDescent="0.3">
      <c r="F1" s="52" t="s">
        <v>19</v>
      </c>
      <c r="G1" s="52"/>
      <c r="I1" s="52" t="s">
        <v>23</v>
      </c>
      <c r="J1" s="52"/>
    </row>
    <row r="2" spans="1:16" x14ac:dyDescent="0.3">
      <c r="A2" t="s">
        <v>18</v>
      </c>
      <c r="B2" s="31">
        <f>SUM(E13+E14)</f>
        <v>313168</v>
      </c>
      <c r="C2" s="32"/>
      <c r="F2" t="s">
        <v>21</v>
      </c>
      <c r="G2" s="31" t="s">
        <v>20</v>
      </c>
      <c r="I2" t="s">
        <v>24</v>
      </c>
      <c r="J2" t="s">
        <v>20</v>
      </c>
    </row>
    <row r="3" spans="1:16" x14ac:dyDescent="0.3">
      <c r="A3" t="s">
        <v>19</v>
      </c>
      <c r="B3" s="31">
        <f>SUM(H3)</f>
        <v>603750</v>
      </c>
      <c r="C3" s="32"/>
      <c r="F3">
        <v>4025</v>
      </c>
      <c r="G3" s="31">
        <v>150</v>
      </c>
      <c r="H3" s="32">
        <f>SUM(F3*G3)</f>
        <v>603750</v>
      </c>
      <c r="I3" s="44">
        <v>14</v>
      </c>
      <c r="J3">
        <v>2000</v>
      </c>
      <c r="K3" s="31">
        <f>SUM(J3*I3)</f>
        <v>28000</v>
      </c>
    </row>
    <row r="4" spans="1:16" x14ac:dyDescent="0.3">
      <c r="A4" t="s">
        <v>23</v>
      </c>
    </row>
    <row r="5" spans="1:16" x14ac:dyDescent="0.3">
      <c r="A5" t="s">
        <v>10</v>
      </c>
      <c r="B5" s="31">
        <v>100000</v>
      </c>
    </row>
    <row r="6" spans="1:16" x14ac:dyDescent="0.3">
      <c r="A6" t="s">
        <v>22</v>
      </c>
      <c r="B6" s="31">
        <f>SUM(B2:B5)</f>
        <v>1016918</v>
      </c>
      <c r="C6" s="31"/>
      <c r="N6" s="31" t="s">
        <v>53</v>
      </c>
      <c r="O6" s="31" t="s">
        <v>54</v>
      </c>
      <c r="P6" s="31" t="s">
        <v>46</v>
      </c>
    </row>
    <row r="7" spans="1:16" x14ac:dyDescent="0.3">
      <c r="M7" t="s">
        <v>52</v>
      </c>
      <c r="P7" s="31">
        <f>SUM(N7:O7)</f>
        <v>0</v>
      </c>
    </row>
    <row r="8" spans="1:16" x14ac:dyDescent="0.3">
      <c r="M8" t="s">
        <v>43</v>
      </c>
      <c r="N8" s="31">
        <v>21974.63</v>
      </c>
      <c r="P8" s="31">
        <f>SUM(N8:O8)</f>
        <v>21974.63</v>
      </c>
    </row>
    <row r="9" spans="1:16" x14ac:dyDescent="0.3">
      <c r="E9" s="31">
        <v>3515</v>
      </c>
      <c r="F9" t="s">
        <v>72</v>
      </c>
      <c r="G9" s="31">
        <f>SUM(E9*I3)</f>
        <v>49210</v>
      </c>
      <c r="M9" t="s">
        <v>44</v>
      </c>
      <c r="N9" s="31">
        <v>17873.650000000001</v>
      </c>
      <c r="O9" s="31">
        <v>17084.53</v>
      </c>
      <c r="P9" s="31">
        <f>SUM(N9:O9)</f>
        <v>34958.18</v>
      </c>
    </row>
    <row r="10" spans="1:16" x14ac:dyDescent="0.3">
      <c r="E10" s="31">
        <v>3515</v>
      </c>
      <c r="F10" t="s">
        <v>70</v>
      </c>
      <c r="G10" s="31">
        <f>SUM(E10*I3)</f>
        <v>49210</v>
      </c>
    </row>
    <row r="11" spans="1:16" x14ac:dyDescent="0.3">
      <c r="E11" s="31">
        <v>5000</v>
      </c>
      <c r="F11" t="s">
        <v>71</v>
      </c>
      <c r="G11" s="31">
        <f>SUM(E11*I3)</f>
        <v>70000</v>
      </c>
      <c r="N11" s="31" t="s">
        <v>50</v>
      </c>
      <c r="O11" s="31" t="s">
        <v>51</v>
      </c>
      <c r="P11" s="31" t="s">
        <v>46</v>
      </c>
    </row>
    <row r="12" spans="1:16" x14ac:dyDescent="0.3">
      <c r="A12" t="s">
        <v>18</v>
      </c>
      <c r="B12" t="s">
        <v>34</v>
      </c>
      <c r="E12" s="31">
        <v>750</v>
      </c>
      <c r="F12" t="s">
        <v>73</v>
      </c>
      <c r="G12" s="31">
        <f>SUM(E12*I3)</f>
        <v>10500</v>
      </c>
      <c r="P12" s="31">
        <f>SUM(N12:O12)</f>
        <v>0</v>
      </c>
    </row>
    <row r="13" spans="1:16" x14ac:dyDescent="0.3">
      <c r="A13" t="s">
        <v>25</v>
      </c>
      <c r="B13" s="37">
        <v>7184</v>
      </c>
      <c r="C13" t="s">
        <v>35</v>
      </c>
      <c r="D13" s="31">
        <v>14.5</v>
      </c>
      <c r="E13" s="31">
        <f>SUM(B13*D13)</f>
        <v>104168</v>
      </c>
      <c r="P13" s="31">
        <f>SUM(N13:O13)</f>
        <v>0</v>
      </c>
    </row>
    <row r="14" spans="1:16" x14ac:dyDescent="0.3">
      <c r="A14" t="s">
        <v>32</v>
      </c>
      <c r="B14" s="37">
        <v>4256</v>
      </c>
      <c r="C14" t="s">
        <v>36</v>
      </c>
      <c r="E14" s="31">
        <v>209000</v>
      </c>
    </row>
    <row r="15" spans="1:16" x14ac:dyDescent="0.3">
      <c r="A15" t="s">
        <v>39</v>
      </c>
      <c r="B15" s="37">
        <v>28</v>
      </c>
      <c r="C15" t="s">
        <v>35</v>
      </c>
      <c r="G15" s="31">
        <f>SUM(G9:G13)</f>
        <v>178920</v>
      </c>
    </row>
    <row r="16" spans="1:16" x14ac:dyDescent="0.3">
      <c r="A16" t="s">
        <v>26</v>
      </c>
      <c r="B16" s="37">
        <v>2</v>
      </c>
      <c r="C16" t="s">
        <v>35</v>
      </c>
    </row>
    <row r="17" spans="1:20" x14ac:dyDescent="0.3">
      <c r="A17" t="s">
        <v>27</v>
      </c>
      <c r="B17" s="37">
        <v>392</v>
      </c>
      <c r="C17" t="s">
        <v>35</v>
      </c>
    </row>
    <row r="18" spans="1:20" x14ac:dyDescent="0.3">
      <c r="A18" t="s">
        <v>31</v>
      </c>
      <c r="B18" s="37">
        <v>28</v>
      </c>
      <c r="C18" t="s">
        <v>35</v>
      </c>
      <c r="M18" s="37"/>
    </row>
    <row r="19" spans="1:20" x14ac:dyDescent="0.3">
      <c r="A19" t="s">
        <v>28</v>
      </c>
      <c r="B19" s="37">
        <v>350</v>
      </c>
      <c r="C19" t="s">
        <v>36</v>
      </c>
      <c r="M19" s="37"/>
    </row>
    <row r="20" spans="1:20" x14ac:dyDescent="0.3">
      <c r="A20" t="s">
        <v>29</v>
      </c>
      <c r="B20" s="37">
        <v>1</v>
      </c>
      <c r="C20" t="s">
        <v>45</v>
      </c>
    </row>
    <row r="21" spans="1:20" x14ac:dyDescent="0.3">
      <c r="A21" t="s">
        <v>30</v>
      </c>
      <c r="B21" s="37">
        <v>20</v>
      </c>
      <c r="C21" t="s">
        <v>35</v>
      </c>
    </row>
    <row r="22" spans="1:20" x14ac:dyDescent="0.3">
      <c r="A22" t="s">
        <v>33</v>
      </c>
      <c r="B22" s="37">
        <v>28</v>
      </c>
      <c r="C22" t="s">
        <v>35</v>
      </c>
    </row>
    <row r="23" spans="1:20" x14ac:dyDescent="0.3">
      <c r="A23" t="s">
        <v>37</v>
      </c>
      <c r="B23" s="37">
        <v>0</v>
      </c>
      <c r="C23" t="s">
        <v>35</v>
      </c>
      <c r="R23" s="39"/>
    </row>
    <row r="24" spans="1:20" x14ac:dyDescent="0.3">
      <c r="A24" t="s">
        <v>38</v>
      </c>
      <c r="B24" s="37">
        <v>14</v>
      </c>
      <c r="C24" t="s">
        <v>35</v>
      </c>
    </row>
    <row r="25" spans="1:20" x14ac:dyDescent="0.3">
      <c r="A25" t="s">
        <v>40</v>
      </c>
      <c r="B25" s="37">
        <v>550</v>
      </c>
      <c r="C25" t="s">
        <v>36</v>
      </c>
    </row>
    <row r="26" spans="1:20" x14ac:dyDescent="0.3">
      <c r="A26" t="s">
        <v>41</v>
      </c>
      <c r="B26" s="37">
        <v>4</v>
      </c>
    </row>
    <row r="27" spans="1:20" x14ac:dyDescent="0.3">
      <c r="A27" t="s">
        <v>42</v>
      </c>
      <c r="B27" s="37">
        <v>1</v>
      </c>
    </row>
    <row r="28" spans="1:20" ht="15.6" x14ac:dyDescent="0.3">
      <c r="A28" t="s">
        <v>47</v>
      </c>
      <c r="B28" s="37">
        <f>SUM(B25/20)</f>
        <v>27.5</v>
      </c>
      <c r="O28" s="41"/>
      <c r="P28" s="41"/>
      <c r="Q28" s="40"/>
      <c r="R28" s="40"/>
      <c r="S28" s="40"/>
      <c r="T28" s="40"/>
    </row>
    <row r="29" spans="1:20" x14ac:dyDescent="0.3">
      <c r="A29" t="s">
        <v>48</v>
      </c>
      <c r="B29" s="37">
        <v>1631</v>
      </c>
      <c r="C29" t="s">
        <v>36</v>
      </c>
    </row>
    <row r="31" spans="1:20" x14ac:dyDescent="0.3">
      <c r="A31" t="s">
        <v>55</v>
      </c>
      <c r="B31" s="31" t="s">
        <v>58</v>
      </c>
      <c r="C31" t="s">
        <v>61</v>
      </c>
      <c r="D31" s="31" t="s">
        <v>64</v>
      </c>
      <c r="E31" s="31" t="s">
        <v>66</v>
      </c>
      <c r="F31" s="31" t="s">
        <v>68</v>
      </c>
    </row>
    <row r="32" spans="1:20" x14ac:dyDescent="0.3">
      <c r="A32" t="s">
        <v>56</v>
      </c>
      <c r="B32" s="31" t="s">
        <v>59</v>
      </c>
      <c r="C32" t="s">
        <v>62</v>
      </c>
      <c r="D32" s="31" t="s">
        <v>65</v>
      </c>
      <c r="E32" s="31" t="s">
        <v>67</v>
      </c>
      <c r="F32" s="31" t="s">
        <v>69</v>
      </c>
    </row>
    <row r="33" spans="1:5" x14ac:dyDescent="0.3">
      <c r="A33" t="s">
        <v>57</v>
      </c>
      <c r="B33" s="31" t="s">
        <v>60</v>
      </c>
      <c r="C33" t="s">
        <v>63</v>
      </c>
      <c r="E33" s="31" t="s">
        <v>67</v>
      </c>
    </row>
  </sheetData>
  <mergeCells count="2">
    <mergeCell ref="F1:G1"/>
    <mergeCell ref="I1:J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7AE51F9A315D44BA839E31A8F02625" ma:contentTypeVersion="13" ma:contentTypeDescription="Create a new document." ma:contentTypeScope="" ma:versionID="b2d173fa4a35c3aa1f9244790a337fc8">
  <xsd:schema xmlns:xsd="http://www.w3.org/2001/XMLSchema" xmlns:xs="http://www.w3.org/2001/XMLSchema" xmlns:p="http://schemas.microsoft.com/office/2006/metadata/properties" xmlns:ns2="0e2240a2-1676-4925-b7b6-c3db279007d8" xmlns:ns3="32f47748-3166-466c-8ce3-fa1971e2d151" targetNamespace="http://schemas.microsoft.com/office/2006/metadata/properties" ma:root="true" ma:fieldsID="6fac8066c2672fe3108b11926c274985" ns2:_="" ns3:_="">
    <xsd:import namespace="0e2240a2-1676-4925-b7b6-c3db279007d8"/>
    <xsd:import namespace="32f47748-3166-466c-8ce3-fa1971e2d1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etUpInterview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2240a2-1676-4925-b7b6-c3db279007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e59972e-8577-42ad-bf39-0d70ee39dc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etUpInterview" ma:index="20" nillable="true" ma:displayName="Set Up Interview" ma:format="Dropdown" ma:internalName="SetUpInterview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47748-3166-466c-8ce3-fa1971e2d15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6e4e821-58af-4a92-99fd-8a4ba7cee6e9}" ma:internalName="TaxCatchAll" ma:showField="CatchAllData" ma:web="32f47748-3166-466c-8ce3-fa1971e2d1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f47748-3166-466c-8ce3-fa1971e2d151" xsi:nil="true"/>
    <lcf76f155ced4ddcb4097134ff3c332f xmlns="0e2240a2-1676-4925-b7b6-c3db279007d8">
      <Terms xmlns="http://schemas.microsoft.com/office/infopath/2007/PartnerControls"/>
    </lcf76f155ced4ddcb4097134ff3c332f>
    <SetUpInterview xmlns="0e2240a2-1676-4925-b7b6-c3db279007d8" xsi:nil="true"/>
  </documentManagement>
</p:properties>
</file>

<file path=customXml/itemProps1.xml><?xml version="1.0" encoding="utf-8"?>
<ds:datastoreItem xmlns:ds="http://schemas.openxmlformats.org/officeDocument/2006/customXml" ds:itemID="{6DF53BC4-BCB4-471B-8E6C-C49EB500B3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61076C-5E7F-401D-94C8-9AB367B1CC5F}"/>
</file>

<file path=customXml/itemProps3.xml><?xml version="1.0" encoding="utf-8"?>
<ds:datastoreItem xmlns:ds="http://schemas.openxmlformats.org/officeDocument/2006/customXml" ds:itemID="{C284A3F8-839A-45AE-8B02-ED7EE6AD2528}">
  <ds:schemaRefs>
    <ds:schemaRef ds:uri="http://schemas.microsoft.com/office/2006/metadata/properties"/>
    <ds:schemaRef ds:uri="http://schemas.microsoft.com/office/infopath/2007/PartnerControls"/>
    <ds:schemaRef ds:uri="32f47748-3166-466c-8ce3-fa1971e2d151"/>
    <ds:schemaRef ds:uri="0e2240a2-1676-4925-b7b6-c3db279007d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Estimate</vt:lpstr>
      <vt:lpstr>Material Take Off</vt:lpstr>
      <vt:lpstr>Estimate!Print_Area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Brandon Clymer</dc:creator>
  <cp:lastModifiedBy>Kebba Mass</cp:lastModifiedBy>
  <cp:lastPrinted>2025-02-18T02:05:14Z</cp:lastPrinted>
  <dcterms:created xsi:type="dcterms:W3CDTF">2013-09-25T13:18:07Z</dcterms:created>
  <dcterms:modified xsi:type="dcterms:W3CDTF">2026-03-13T19:38:22Z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0x010100CF7AE51F9A315D44BA839E31A8F02625</vt:lpwstr>
  </property>
  <property fmtid="{D5CDD505-2E9C-101B-9397-08002B2CF9AE}" pid="3" name="Order">
    <vt:r8>7924700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MediaServiceImageTags">
    <vt:lpwstr/>
  </property>
  <property fmtid="{D5CDD505-2E9C-101B-9397-08002B2CF9AE}" pid="8" name="_SourceUrl">
    <vt:lpwstr/>
  </property>
  <property fmtid="{D5CDD505-2E9C-101B-9397-08002B2CF9AE}" pid="9" name="_SharedFileIndex">
    <vt:lpwstr/>
  </property>
</Properties>
</file>