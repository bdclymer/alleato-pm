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lleato-my.sharepoint.com/personal/bclymer_alleatogroup_com/Documents/Alleato Group/2024 Jobs/24-115 Westfield Collective (Westfield, IN)/"/>
    </mc:Choice>
  </mc:AlternateContent>
  <xr:revisionPtr revIDLastSave="93" documentId="8_{51CCEFFB-BE3D-4322-8225-C235D5AE7644}" xr6:coauthVersionLast="47" xr6:coauthVersionMax="47" xr10:uidLastSave="{74DBF5E7-7603-47ED-9EE2-AE100A642DDE}"/>
  <bookViews>
    <workbookView xWindow="-1597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1" l="1"/>
  <c r="J103" i="1"/>
  <c r="G99" i="1"/>
  <c r="H99" i="1"/>
  <c r="L99" i="1" s="1"/>
  <c r="H94" i="1"/>
  <c r="L94" i="1" s="1"/>
  <c r="G94" i="1"/>
  <c r="L83" i="1"/>
  <c r="K83" i="1" s="1"/>
  <c r="L82" i="1"/>
  <c r="K82" i="1" s="1"/>
  <c r="K79" i="1"/>
  <c r="L79" i="1"/>
  <c r="K81" i="1"/>
  <c r="K80" i="1"/>
  <c r="L78" i="1"/>
  <c r="K78" i="1" s="1"/>
  <c r="L77" i="1"/>
  <c r="L76" i="1"/>
  <c r="L74" i="1"/>
  <c r="H70" i="1"/>
  <c r="G70" i="1"/>
  <c r="L69" i="1"/>
  <c r="K69" i="1" s="1"/>
  <c r="L68" i="1"/>
  <c r="K68" i="1" s="1"/>
  <c r="L67" i="1"/>
  <c r="K67" i="1" s="1"/>
  <c r="L66" i="1"/>
  <c r="K66" i="1" s="1"/>
  <c r="L65" i="1"/>
  <c r="K65" i="1" s="1"/>
  <c r="L64" i="1"/>
  <c r="K64" i="1" s="1"/>
  <c r="L63" i="1"/>
  <c r="K63" i="1" s="1"/>
  <c r="L62" i="1"/>
  <c r="G59" i="1"/>
  <c r="H59" i="1"/>
  <c r="L59" i="1" s="1"/>
  <c r="K54" i="1"/>
  <c r="L51" i="1"/>
  <c r="K51" i="1" s="1"/>
  <c r="K53" i="1"/>
  <c r="L52" i="1"/>
  <c r="K52" i="1" s="1"/>
  <c r="K50" i="1"/>
  <c r="L49" i="1"/>
  <c r="K49" i="1" s="1"/>
  <c r="H48" i="1"/>
  <c r="G48" i="1"/>
  <c r="L47" i="1"/>
  <c r="L46" i="1"/>
  <c r="L45" i="1"/>
  <c r="L43" i="1"/>
  <c r="L42" i="1"/>
  <c r="K99" i="1" l="1"/>
  <c r="K94" i="1"/>
  <c r="K70" i="1"/>
  <c r="K59" i="1"/>
  <c r="L48" i="1"/>
  <c r="K48" i="1" s="1"/>
  <c r="L41" i="1"/>
  <c r="L40" i="1"/>
  <c r="L39" i="1"/>
  <c r="L38" i="1"/>
  <c r="L37" i="1"/>
  <c r="L36" i="1"/>
  <c r="L35" i="1"/>
  <c r="H32" i="1"/>
  <c r="G32" i="1"/>
  <c r="L33" i="1"/>
  <c r="K33" i="1"/>
  <c r="K22" i="1"/>
  <c r="L22" i="1"/>
  <c r="L21" i="1"/>
  <c r="K21" i="1"/>
  <c r="L20" i="1"/>
  <c r="K20" i="1" s="1"/>
  <c r="L19" i="1"/>
  <c r="K19" i="1" s="1"/>
  <c r="L18" i="1"/>
  <c r="K18" i="1" s="1"/>
  <c r="L17" i="1"/>
  <c r="K17" i="1" s="1"/>
  <c r="K16" i="1"/>
  <c r="L16" i="1"/>
  <c r="K15" i="1"/>
  <c r="K13" i="1"/>
  <c r="L11" i="1"/>
  <c r="K11" i="1" s="1"/>
  <c r="L10" i="1"/>
  <c r="K10" i="1" s="1"/>
  <c r="L9" i="1"/>
  <c r="K9" i="1" s="1"/>
  <c r="K8" i="1"/>
  <c r="L6" i="1"/>
  <c r="L5" i="1"/>
  <c r="L7" i="1"/>
  <c r="K7" i="1" s="1"/>
  <c r="K6" i="1"/>
  <c r="K5" i="1" l="1"/>
  <c r="L32" i="1"/>
  <c r="K32" i="1" s="1"/>
  <c r="H103" i="1"/>
  <c r="L103" i="1" l="1"/>
  <c r="K103" i="1"/>
</calcChain>
</file>

<file path=xl/sharedStrings.xml><?xml version="1.0" encoding="utf-8"?>
<sst xmlns="http://schemas.openxmlformats.org/spreadsheetml/2006/main" count="412" uniqueCount="134">
  <si>
    <t>Report Type: Change Request</t>
  </si>
  <si>
    <t>Project: 24-115 Westfield Collective</t>
  </si>
  <si>
    <t>Title Number</t>
  </si>
  <si>
    <t>Contract</t>
  </si>
  <si>
    <t>Scope</t>
  </si>
  <si>
    <t>Status</t>
  </si>
  <si>
    <t>Cost</t>
  </si>
  <si>
    <t>Total</t>
  </si>
  <si>
    <t>Over/Under</t>
  </si>
  <si>
    <t>CR-2403-0025 R15 ISO at Foundation Perimeter</t>
  </si>
  <si>
    <t>PC-2403-0001</t>
  </si>
  <si>
    <t>Internal</t>
  </si>
  <si>
    <t>Void</t>
  </si>
  <si>
    <t>Owner Change</t>
  </si>
  <si>
    <t>Approved</t>
  </si>
  <si>
    <t>CR-2403-0023 Additional Surveying</t>
  </si>
  <si>
    <t>CR-2403-0024 Lime Stabilization</t>
  </si>
  <si>
    <t>CR-2403-0046 FO Box Relocation</t>
  </si>
  <si>
    <t>CR-2403-0018 Damn Good Interiors Design</t>
  </si>
  <si>
    <t>CR-2403-0004 Vacation and Reconstruction of Existing Drain Tile</t>
  </si>
  <si>
    <t>CR-2403-0002 Secondary Plat Services</t>
  </si>
  <si>
    <t>CR-2403-0015 United Excavating T&amp;M Tickets</t>
  </si>
  <si>
    <t>CR-2403-0016 Elevator Equipment Room Relocation</t>
  </si>
  <si>
    <t>CR-2403-0012 Add Structure 612</t>
  </si>
  <si>
    <t>CR-2403-0005 Removal of Additional Concrete Foundations</t>
  </si>
  <si>
    <t>CR-2403-0019 Center Point Energy Encroachment Application</t>
  </si>
  <si>
    <t>CR-2403-0008 Add Kitchen Design and Buildout</t>
  </si>
  <si>
    <t>CR-2403-0006 ROW Scope Increase From City</t>
  </si>
  <si>
    <t>CR-2403-0010 Deduct To Split Buildings</t>
  </si>
  <si>
    <t>CR-2403-0007 Site Work Adds From City Review</t>
  </si>
  <si>
    <t>CR-2403-0047 Site Work Contingencies</t>
  </si>
  <si>
    <t>CR-2403-0021 Trail Pavement Section Credit</t>
  </si>
  <si>
    <t>CR-2403-0020 IBeach Logistics Adds</t>
  </si>
  <si>
    <t>PC-2403-0004</t>
  </si>
  <si>
    <t>CR-2403-0032 Add Volley Ball Court Bathrooms</t>
  </si>
  <si>
    <t>CR-2403-0030 Foundation Fast Cure Mix</t>
  </si>
  <si>
    <t>CR-2403-0031 Merritt- Additional Stone</t>
  </si>
  <si>
    <t>CR-2403-0033 Concrete in VB Courts</t>
  </si>
  <si>
    <t>CR-2403-0034 VB Spoils Export</t>
  </si>
  <si>
    <t>CR-2403-0036 Deduct For Trailer Power Reconnection</t>
  </si>
  <si>
    <t>CR-2403-0037 OH Doors Deduct</t>
  </si>
  <si>
    <t>CR-2403-0038 Electrical Design Shortages</t>
  </si>
  <si>
    <t>CR-2403-0039 Added Stone For Drive and Crane Pad for Agg Piers</t>
  </si>
  <si>
    <t>CR-2403-0040 Concrete Patio Addition</t>
  </si>
  <si>
    <t>CR-2403-0003 Permits and Inspections</t>
  </si>
  <si>
    <t>CR-2403-0044 LeMaster Items Left Off Subcontract</t>
  </si>
  <si>
    <t>CR-2403-0043 Perimeter Trail Deduct From DPW</t>
  </si>
  <si>
    <t>CR-2403-0042 HVAC Deduct to FITE</t>
  </si>
  <si>
    <t>CR-2403-0045 Big Ass Fans</t>
  </si>
  <si>
    <t>CR-2403-0051 Tracked Equipment Rental</t>
  </si>
  <si>
    <t>CR-2403-0049 Leftover Design Items</t>
  </si>
  <si>
    <t>Draft</t>
  </si>
  <si>
    <t>CR-2403-0050 Access Panels At Beer Wall</t>
  </si>
  <si>
    <t>CR-2403-0052 Added Downspouts and Underdrains</t>
  </si>
  <si>
    <t>In Review</t>
  </si>
  <si>
    <t>CR-2403-0048 ROW Undercutting</t>
  </si>
  <si>
    <t>CR-2403-0053 Re-Prep SOG</t>
  </si>
  <si>
    <t>CR-2403-0054 Fiber Optic Box Relocation</t>
  </si>
  <si>
    <t>CR-2403-0055 Final Permit and Inspection Fees</t>
  </si>
  <si>
    <t>CR-2403-0056 November Design Adds</t>
  </si>
  <si>
    <t>CR-2403-0057 December Design Adds</t>
  </si>
  <si>
    <t>CR-2403-0059 RTU Curb Reinforcement for Screens</t>
  </si>
  <si>
    <t>CR-2403-0060 LeMaster Tickets</t>
  </si>
  <si>
    <t/>
  </si>
  <si>
    <t>Insurance</t>
  </si>
  <si>
    <t>Fee</t>
  </si>
  <si>
    <t>Mark Up</t>
  </si>
  <si>
    <t>Owner CO Not Written</t>
  </si>
  <si>
    <t>Owner CO Written, Fee/Ins broke out</t>
  </si>
  <si>
    <t>Sub CO not issued</t>
  </si>
  <si>
    <t>Sub CO Issued</t>
  </si>
  <si>
    <t>Internal CO Loss</t>
  </si>
  <si>
    <t>Pricing in CR #04 &amp; #05</t>
  </si>
  <si>
    <t>Funds moved to GC or Design</t>
  </si>
  <si>
    <t>Contingency</t>
  </si>
  <si>
    <t>OCO PC #47</t>
  </si>
  <si>
    <t>CR-2403-0026 Items in PCCO 20 Paint Structural Steel</t>
  </si>
  <si>
    <t>CR-2403-0026 Items in PCCO 20 Steel Jambs &amp; Headers</t>
  </si>
  <si>
    <t>CR-2403-0026 Items in PCCO 20 Power to all FFE</t>
  </si>
  <si>
    <t>CR-2403-0026 Items in PCCO 20 Credit Liberty Fixtures</t>
  </si>
  <si>
    <t>CR-2403-0026 Items in PCCO 20 Lintel Blocks at Windows</t>
  </si>
  <si>
    <t>CR-2403-0026 Items in PCCO 20 Water Supply flr drains</t>
  </si>
  <si>
    <t>CR-2403-0026 Items in PCCO 20 Deduct Mezz Rail at TV wall</t>
  </si>
  <si>
    <t>CR-2403-0026 Items in PCCO 20 Wet Wall Tile Deduct</t>
  </si>
  <si>
    <t>CR-2403-0026 Items in PCCO 20 6" UG Beer Chase</t>
  </si>
  <si>
    <t>CR-2403-0026 Items in PCCO 20 Total</t>
  </si>
  <si>
    <t>CR-2403-0032 CDR Review</t>
  </si>
  <si>
    <t>CR-2403-0032 Bathroom Foundation</t>
  </si>
  <si>
    <t>CR-2403-0032 Siding</t>
  </si>
  <si>
    <t>CR-2403-0032 Doors</t>
  </si>
  <si>
    <t>CR-2403-0032 Metal Framing/Drywall</t>
  </si>
  <si>
    <t>CR-2403-0032 Tile</t>
  </si>
  <si>
    <t>CR-2403-0032 Sealed Concrete</t>
  </si>
  <si>
    <t>CR-2403-0032 Painting/Doors</t>
  </si>
  <si>
    <t>CR-2403-0032 Bathroom Accessories</t>
  </si>
  <si>
    <t>CR-2403-0032 Fire Suppression</t>
  </si>
  <si>
    <t>CR-2403-0032 Plumbing</t>
  </si>
  <si>
    <t>CR-2403-0032 HVAC</t>
  </si>
  <si>
    <t>CR-2403-0032 Electrical</t>
  </si>
  <si>
    <t>CR-2403-0040 Extend Concrete Patio</t>
  </si>
  <si>
    <t>CR-2403-0040 Risers for Storm drain in Patio</t>
  </si>
  <si>
    <t>CR-2403-0040 Sealed Concrete for interior slab</t>
  </si>
  <si>
    <t>CR-2403-0040 VB Poles</t>
  </si>
  <si>
    <t>CR-2403-0041 Concrete Contingency Pay CR 25, &amp; CR 30</t>
  </si>
  <si>
    <t>CR-2403-0044 VB East Wall Girts and Insulation</t>
  </si>
  <si>
    <t>CR-2403-0044 Eliiminate Columns at GL9 &amp; Change Rafters</t>
  </si>
  <si>
    <t>CR-2403-0044 Field Modify Bathroom Door</t>
  </si>
  <si>
    <t>CR-2403-0044 Perimeter Angle and Welded Bar</t>
  </si>
  <si>
    <t>CR-2403-0044 Remove Tube Support on North Endwall</t>
  </si>
  <si>
    <t>CR-2403-0044 Add Curbs for Kitchen Equipment</t>
  </si>
  <si>
    <t>CR-2403-0044 Mezzaniine Openings for Kitchen Ducting</t>
  </si>
  <si>
    <t>CR-2403-0045 Installation of Fans Deem</t>
  </si>
  <si>
    <t>CR-2403-0045 PO for Big Ass Fans</t>
  </si>
  <si>
    <t>CR-2403-0056 Breeze Blocks</t>
  </si>
  <si>
    <t>CR-2403-0056 Partition Rails</t>
  </si>
  <si>
    <t>CR-2403-0056 High Tops</t>
  </si>
  <si>
    <t>CR-2403-0056 Roof Access Ladder</t>
  </si>
  <si>
    <t>CR-2403-0056 6 Doors Added throughout Design</t>
  </si>
  <si>
    <t>CR-2403-0056 Eliason Doors Upgrade</t>
  </si>
  <si>
    <t>CR-2403-0056 SF Windows &amp; Doors</t>
  </si>
  <si>
    <t>CR-2403-0056 Windows in Nooks</t>
  </si>
  <si>
    <t>CR-2403-0056 Paint for added Walls</t>
  </si>
  <si>
    <t>CR-2403-0056 Framing, Tile Backer, Arches, Framng Etc</t>
  </si>
  <si>
    <t>CR-2403-0057 Casework &amp; Millwork</t>
  </si>
  <si>
    <t>CR-2403-0057 Granite Countertops</t>
  </si>
  <si>
    <t>CR-2403-0057 Labor, Thin Set, Grout</t>
  </si>
  <si>
    <t>CR-2403-0057 Shousugiban and Ship Lap</t>
  </si>
  <si>
    <t>Included in sub</t>
  </si>
  <si>
    <t>Included in subcon</t>
  </si>
  <si>
    <t>What For ????</t>
  </si>
  <si>
    <t>Void CR 54</t>
  </si>
  <si>
    <t>Need to write</t>
  </si>
  <si>
    <t>No Sub Pricing</t>
  </si>
  <si>
    <t>Emailed to Sub?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</si>
</sst>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\-[$$-409]#,##0.00"/>
  </numFmts>
  <fonts count="5" x14ac:knownFonts="1">
    <font>
      <sz val="12"/>
      <color rgb="FF000000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8"/>
      <name val="Calibri"/>
      <family val="2"/>
      <charset val="1"/>
    </font>
    <font>
      <sz val="12"/>
      <color rgb="FFFF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2786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5BBD9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wrapText="1"/>
    </xf>
  </cellStyleXfs>
  <cellXfs count="49">
    <xf numFmtId="0" fontId="0" fillId="0" borderId="0" xfId="0">
      <alignment wrapText="1"/>
    </xf>
    <xf numFmtId="0" fontId="1" fillId="2" borderId="0" xfId="0" applyFont="1" applyFill="1">
      <alignment wrapText="1"/>
    </xf>
    <xf numFmtId="0" fontId="0" fillId="3" borderId="0" xfId="0" applyFill="1">
      <alignment wrapText="1"/>
    </xf>
    <xf numFmtId="0" fontId="0" fillId="4" borderId="0" xfId="0" applyFill="1">
      <alignment wrapText="1"/>
    </xf>
    <xf numFmtId="0" fontId="0" fillId="5" borderId="0" xfId="0" applyFill="1">
      <alignment wrapText="1"/>
    </xf>
    <xf numFmtId="0" fontId="0" fillId="6" borderId="0" xfId="0" applyFill="1">
      <alignment wrapText="1"/>
    </xf>
    <xf numFmtId="0" fontId="0" fillId="7" borderId="0" xfId="0" applyFill="1">
      <alignment wrapText="1"/>
    </xf>
    <xf numFmtId="0" fontId="0" fillId="8" borderId="0" xfId="0" applyFill="1">
      <alignment wrapText="1"/>
    </xf>
    <xf numFmtId="0" fontId="0" fillId="9" borderId="0" xfId="0" applyFill="1">
      <alignment wrapText="1"/>
    </xf>
    <xf numFmtId="164" fontId="2" fillId="0" borderId="0" xfId="0" applyNumberFormat="1" applyFont="1" applyAlignment="1">
      <alignment horizontal="right" wrapText="1"/>
    </xf>
    <xf numFmtId="0" fontId="1" fillId="2" borderId="1" xfId="0" applyFont="1" applyFill="1" applyBorder="1">
      <alignment wrapText="1"/>
    </xf>
    <xf numFmtId="0" fontId="1" fillId="2" borderId="2" xfId="0" applyFont="1" applyFill="1" applyBorder="1">
      <alignment wrapText="1"/>
    </xf>
    <xf numFmtId="0" fontId="1" fillId="2" borderId="3" xfId="0" applyFont="1" applyFill="1" applyBorder="1">
      <alignment wrapText="1"/>
    </xf>
    <xf numFmtId="0" fontId="0" fillId="3" borderId="4" xfId="0" applyFill="1" applyBorder="1">
      <alignment wrapText="1"/>
    </xf>
    <xf numFmtId="164" fontId="0" fillId="5" borderId="0" xfId="0" applyNumberFormat="1" applyFill="1" applyAlignment="1">
      <alignment horizontal="right" wrapText="1"/>
    </xf>
    <xf numFmtId="164" fontId="0" fillId="3" borderId="0" xfId="0" applyNumberFormat="1" applyFill="1" applyAlignment="1">
      <alignment horizontal="right" wrapText="1"/>
    </xf>
    <xf numFmtId="164" fontId="0" fillId="3" borderId="5" xfId="0" applyNumberFormat="1" applyFill="1" applyBorder="1" applyAlignment="1">
      <alignment horizontal="right" wrapText="1"/>
    </xf>
    <xf numFmtId="0" fontId="0" fillId="4" borderId="4" xfId="0" applyFill="1" applyBorder="1">
      <alignment wrapText="1"/>
    </xf>
    <xf numFmtId="164" fontId="0" fillId="4" borderId="0" xfId="0" applyNumberFormat="1" applyFill="1" applyAlignment="1">
      <alignment horizontal="right" wrapText="1"/>
    </xf>
    <xf numFmtId="164" fontId="0" fillId="4" borderId="5" xfId="0" applyNumberFormat="1" applyFill="1" applyBorder="1" applyAlignment="1">
      <alignment horizontal="right" wrapText="1"/>
    </xf>
    <xf numFmtId="164" fontId="0" fillId="7" borderId="0" xfId="0" applyNumberFormat="1" applyFill="1" applyAlignment="1">
      <alignment horizontal="right" wrapText="1"/>
    </xf>
    <xf numFmtId="0" fontId="0" fillId="8" borderId="4" xfId="0" applyFill="1" applyBorder="1">
      <alignment wrapText="1"/>
    </xf>
    <xf numFmtId="164" fontId="0" fillId="8" borderId="0" xfId="0" applyNumberFormat="1" applyFill="1" applyAlignment="1">
      <alignment horizontal="right" wrapText="1"/>
    </xf>
    <xf numFmtId="164" fontId="0" fillId="8" borderId="5" xfId="0" applyNumberFormat="1" applyFill="1" applyBorder="1" applyAlignment="1">
      <alignment horizontal="right" wrapText="1"/>
    </xf>
    <xf numFmtId="164" fontId="0" fillId="6" borderId="0" xfId="0" applyNumberFormat="1" applyFill="1" applyAlignment="1">
      <alignment horizontal="right" wrapText="1"/>
    </xf>
    <xf numFmtId="0" fontId="0" fillId="0" borderId="4" xfId="0" applyBorder="1">
      <alignment wrapText="1"/>
    </xf>
    <xf numFmtId="164" fontId="0" fillId="0" borderId="0" xfId="0" applyNumberFormat="1" applyAlignment="1">
      <alignment horizontal="right" wrapText="1"/>
    </xf>
    <xf numFmtId="164" fontId="0" fillId="0" borderId="5" xfId="0" applyNumberFormat="1" applyBorder="1" applyAlignment="1">
      <alignment horizontal="right" wrapText="1"/>
    </xf>
    <xf numFmtId="0" fontId="0" fillId="5" borderId="4" xfId="0" applyFill="1" applyBorder="1">
      <alignment wrapText="1"/>
    </xf>
    <xf numFmtId="164" fontId="0" fillId="5" borderId="5" xfId="0" applyNumberFormat="1" applyFill="1" applyBorder="1" applyAlignment="1">
      <alignment horizontal="right" wrapText="1"/>
    </xf>
    <xf numFmtId="0" fontId="0" fillId="9" borderId="4" xfId="0" applyFill="1" applyBorder="1">
      <alignment wrapText="1"/>
    </xf>
    <xf numFmtId="164" fontId="0" fillId="9" borderId="0" xfId="0" applyNumberFormat="1" applyFill="1" applyAlignment="1">
      <alignment horizontal="right" wrapText="1"/>
    </xf>
    <xf numFmtId="164" fontId="0" fillId="9" borderId="5" xfId="0" applyNumberFormat="1" applyFill="1" applyBorder="1" applyAlignment="1">
      <alignment horizontal="right" wrapText="1"/>
    </xf>
    <xf numFmtId="164" fontId="4" fillId="6" borderId="0" xfId="0" applyNumberFormat="1" applyFont="1" applyFill="1" applyAlignment="1">
      <alignment horizontal="right" wrapText="1"/>
    </xf>
    <xf numFmtId="0" fontId="0" fillId="8" borderId="6" xfId="0" applyFill="1" applyBorder="1">
      <alignment wrapText="1"/>
    </xf>
    <xf numFmtId="0" fontId="0" fillId="8" borderId="7" xfId="0" applyFill="1" applyBorder="1">
      <alignment wrapText="1"/>
    </xf>
    <xf numFmtId="164" fontId="0" fillId="6" borderId="7" xfId="0" applyNumberFormat="1" applyFill="1" applyBorder="1" applyAlignment="1">
      <alignment horizontal="right" wrapText="1"/>
    </xf>
    <xf numFmtId="164" fontId="0" fillId="8" borderId="7" xfId="0" applyNumberFormat="1" applyFill="1" applyBorder="1" applyAlignment="1">
      <alignment horizontal="right" wrapText="1"/>
    </xf>
    <xf numFmtId="164" fontId="0" fillId="8" borderId="8" xfId="0" applyNumberFormat="1" applyFill="1" applyBorder="1" applyAlignment="1">
      <alignment horizontal="right" wrapText="1"/>
    </xf>
    <xf numFmtId="0" fontId="0" fillId="0" borderId="0" xfId="0" applyAlignment="1">
      <alignment horizontal="left" wrapText="1"/>
    </xf>
    <xf numFmtId="0" fontId="0" fillId="3" borderId="9" xfId="0" applyFill="1" applyBorder="1">
      <alignment wrapText="1"/>
    </xf>
    <xf numFmtId="0" fontId="0" fillId="3" borderId="10" xfId="0" applyFill="1" applyBorder="1">
      <alignment wrapText="1"/>
    </xf>
    <xf numFmtId="0" fontId="0" fillId="8" borderId="10" xfId="0" applyFill="1" applyBorder="1">
      <alignment wrapText="1"/>
    </xf>
    <xf numFmtId="0" fontId="0" fillId="0" borderId="10" xfId="0" applyBorder="1">
      <alignment wrapText="1"/>
    </xf>
    <xf numFmtId="0" fontId="0" fillId="5" borderId="10" xfId="0" applyFill="1" applyBorder="1">
      <alignment wrapText="1"/>
    </xf>
    <xf numFmtId="0" fontId="0" fillId="9" borderId="10" xfId="0" applyFill="1" applyBorder="1">
      <alignment wrapText="1"/>
    </xf>
    <xf numFmtId="0" fontId="0" fillId="4" borderId="10" xfId="0" applyFill="1" applyBorder="1">
      <alignment wrapText="1"/>
    </xf>
    <xf numFmtId="0" fontId="0" fillId="8" borderId="11" xfId="0" applyFill="1" applyBorder="1">
      <alignment wrapText="1"/>
    </xf>
    <xf numFmtId="0" fontId="0" fillId="8" borderId="12" xfId="0" applyFill="1" applyBorder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BBD9"/>
      <color rgb="FFFF99CC"/>
      <color rgb="FFD7B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A7" zoomScale="90" zoomScaleNormal="90" workbookViewId="0">
      <selection activeCell="F7" sqref="F7"/>
    </sheetView>
  </sheetViews>
  <sheetFormatPr defaultRowHeight="15.75" x14ac:dyDescent="0.25"/>
  <cols>
    <col min="1" max="1" width="50.375" customWidth="1"/>
    <col min="2" max="2" width="15"/>
    <col min="3" max="3" width="30"/>
    <col min="4" max="4" width="15"/>
    <col min="7" max="12" width="20"/>
  </cols>
  <sheetData>
    <row r="1" spans="1:12" ht="17.25" x14ac:dyDescent="0.3">
      <c r="A1" s="1" t="s">
        <v>0</v>
      </c>
      <c r="C1" s="4"/>
      <c r="D1" s="39" t="s">
        <v>73</v>
      </c>
      <c r="E1" s="39"/>
      <c r="F1" s="39"/>
      <c r="G1" s="39"/>
      <c r="H1" s="5"/>
      <c r="I1" t="s">
        <v>69</v>
      </c>
      <c r="J1" s="8"/>
      <c r="K1" t="s">
        <v>74</v>
      </c>
    </row>
    <row r="2" spans="1:12" ht="17.25" x14ac:dyDescent="0.3">
      <c r="A2" s="1" t="s">
        <v>1</v>
      </c>
      <c r="C2" s="3"/>
      <c r="D2" s="39" t="s">
        <v>67</v>
      </c>
      <c r="E2" s="39"/>
      <c r="F2" s="39"/>
      <c r="G2" s="39"/>
      <c r="H2" s="6"/>
      <c r="I2" t="s">
        <v>70</v>
      </c>
    </row>
    <row r="3" spans="1:12" x14ac:dyDescent="0.25">
      <c r="C3" s="2"/>
      <c r="D3" s="39" t="s">
        <v>68</v>
      </c>
      <c r="E3" s="39"/>
      <c r="F3" s="39"/>
      <c r="G3" s="39"/>
      <c r="H3" s="7"/>
      <c r="I3" t="s">
        <v>71</v>
      </c>
    </row>
    <row r="4" spans="1:12" ht="35.25" thickBot="1" x14ac:dyDescent="0.35">
      <c r="A4" s="10" t="s">
        <v>2</v>
      </c>
      <c r="B4" s="11" t="s">
        <v>3</v>
      </c>
      <c r="C4" s="11" t="s">
        <v>4</v>
      </c>
      <c r="D4" s="11" t="s">
        <v>5</v>
      </c>
      <c r="E4" s="11"/>
      <c r="F4" s="11" t="s">
        <v>133</v>
      </c>
      <c r="G4" s="11" t="s">
        <v>6</v>
      </c>
      <c r="H4" s="11" t="s">
        <v>66</v>
      </c>
      <c r="I4" s="11" t="s">
        <v>65</v>
      </c>
      <c r="J4" s="11" t="s">
        <v>64</v>
      </c>
      <c r="K4" s="11" t="s">
        <v>7</v>
      </c>
      <c r="L4" s="12" t="s">
        <v>8</v>
      </c>
    </row>
    <row r="5" spans="1:12" x14ac:dyDescent="0.25">
      <c r="A5" s="13" t="s">
        <v>20</v>
      </c>
      <c r="B5" s="2" t="s">
        <v>10</v>
      </c>
      <c r="C5" s="2" t="s">
        <v>13</v>
      </c>
      <c r="D5" s="2" t="s">
        <v>14</v>
      </c>
      <c r="E5" s="2"/>
      <c r="F5" s="40"/>
      <c r="G5" s="14">
        <v>3500</v>
      </c>
      <c r="H5" s="15"/>
      <c r="I5" s="15">
        <v>354.38</v>
      </c>
      <c r="J5" s="15">
        <v>43.75</v>
      </c>
      <c r="K5" s="15">
        <f>L5+G5</f>
        <v>3898.13</v>
      </c>
      <c r="L5" s="16">
        <f>J5+I5+H5</f>
        <v>398.13</v>
      </c>
    </row>
    <row r="6" spans="1:12" x14ac:dyDescent="0.25">
      <c r="A6" s="13" t="s">
        <v>44</v>
      </c>
      <c r="B6" s="2" t="s">
        <v>10</v>
      </c>
      <c r="C6" s="2" t="s">
        <v>13</v>
      </c>
      <c r="D6" s="2" t="s">
        <v>14</v>
      </c>
      <c r="E6" s="2"/>
      <c r="F6" s="41"/>
      <c r="G6" s="14">
        <v>37896.76</v>
      </c>
      <c r="H6" s="15"/>
      <c r="I6" s="15">
        <v>3837.04</v>
      </c>
      <c r="J6" s="15">
        <v>473.71</v>
      </c>
      <c r="K6" s="15">
        <f>G6+H6+I6+J6</f>
        <v>42207.51</v>
      </c>
      <c r="L6" s="16">
        <f>J6+I6+H6</f>
        <v>4310.75</v>
      </c>
    </row>
    <row r="7" spans="1:12" ht="31.5" x14ac:dyDescent="0.25">
      <c r="A7" s="13" t="s">
        <v>19</v>
      </c>
      <c r="B7" s="2" t="s">
        <v>10</v>
      </c>
      <c r="C7" s="2" t="s">
        <v>13</v>
      </c>
      <c r="D7" s="2" t="s">
        <v>14</v>
      </c>
      <c r="E7" s="2"/>
      <c r="F7" s="41"/>
      <c r="G7" s="20">
        <v>15722.93</v>
      </c>
      <c r="H7" s="15">
        <v>0</v>
      </c>
      <c r="I7" s="15">
        <v>1591.95</v>
      </c>
      <c r="J7" s="15">
        <v>196.54</v>
      </c>
      <c r="K7" s="15">
        <f>L7+G7</f>
        <v>17511.420000000002</v>
      </c>
      <c r="L7" s="16">
        <f>J7+I7+H7</f>
        <v>1788.49</v>
      </c>
    </row>
    <row r="8" spans="1:12" x14ac:dyDescent="0.25">
      <c r="A8" s="21" t="s">
        <v>24</v>
      </c>
      <c r="B8" s="7" t="s">
        <v>10</v>
      </c>
      <c r="C8" s="7" t="s">
        <v>11</v>
      </c>
      <c r="D8" s="7" t="s">
        <v>14</v>
      </c>
      <c r="E8" s="7"/>
      <c r="F8" s="42"/>
      <c r="G8" s="20">
        <v>3889.25</v>
      </c>
      <c r="H8" s="22">
        <v>0</v>
      </c>
      <c r="I8" s="22">
        <v>0</v>
      </c>
      <c r="J8" s="22">
        <v>0</v>
      </c>
      <c r="K8" s="22">
        <f>L8+G8</f>
        <v>0</v>
      </c>
      <c r="L8" s="23">
        <v>-3889.25</v>
      </c>
    </row>
    <row r="9" spans="1:12" x14ac:dyDescent="0.25">
      <c r="A9" s="13" t="s">
        <v>27</v>
      </c>
      <c r="B9" s="2" t="s">
        <v>10</v>
      </c>
      <c r="C9" s="2" t="s">
        <v>13</v>
      </c>
      <c r="D9" s="2" t="s">
        <v>127</v>
      </c>
      <c r="E9" s="2"/>
      <c r="F9" s="41"/>
      <c r="G9" s="20">
        <v>10856</v>
      </c>
      <c r="H9" s="15">
        <v>10000</v>
      </c>
      <c r="I9" s="15">
        <v>2111.67</v>
      </c>
      <c r="J9" s="15">
        <v>260.7</v>
      </c>
      <c r="K9" s="15">
        <f>L9+G9</f>
        <v>23228.37</v>
      </c>
      <c r="L9" s="16">
        <f>J9+I9+H9</f>
        <v>12372.369999999999</v>
      </c>
    </row>
    <row r="10" spans="1:12" ht="31.5" x14ac:dyDescent="0.25">
      <c r="A10" s="13" t="s">
        <v>29</v>
      </c>
      <c r="B10" s="2" t="s">
        <v>10</v>
      </c>
      <c r="C10" s="2" t="s">
        <v>13</v>
      </c>
      <c r="D10" s="2" t="s">
        <v>128</v>
      </c>
      <c r="E10" s="2"/>
      <c r="F10" s="41"/>
      <c r="G10" s="20">
        <v>15349</v>
      </c>
      <c r="H10" s="15">
        <v>6000</v>
      </c>
      <c r="I10" s="15">
        <v>2161.59</v>
      </c>
      <c r="J10" s="15">
        <v>266.87</v>
      </c>
      <c r="K10" s="15">
        <f>L10+G10</f>
        <v>23777.46</v>
      </c>
      <c r="L10" s="16">
        <f>J10+I10+H10</f>
        <v>8428.4599999999991</v>
      </c>
    </row>
    <row r="11" spans="1:12" x14ac:dyDescent="0.25">
      <c r="A11" s="13" t="s">
        <v>26</v>
      </c>
      <c r="B11" s="2" t="s">
        <v>10</v>
      </c>
      <c r="C11" s="2" t="s">
        <v>13</v>
      </c>
      <c r="D11" s="2" t="s">
        <v>14</v>
      </c>
      <c r="E11" s="2"/>
      <c r="F11" s="41"/>
      <c r="G11" s="20">
        <v>286665</v>
      </c>
      <c r="H11" s="15">
        <v>16700</v>
      </c>
      <c r="I11" s="15">
        <v>30715.71</v>
      </c>
      <c r="J11" s="15">
        <v>3792.07</v>
      </c>
      <c r="K11" s="15">
        <f>L11+G11</f>
        <v>337872.78</v>
      </c>
      <c r="L11" s="16">
        <f>J11+I11+H11</f>
        <v>51207.78</v>
      </c>
    </row>
    <row r="12" spans="1:12" x14ac:dyDescent="0.25">
      <c r="A12" s="25" t="s">
        <v>28</v>
      </c>
      <c r="B12" t="s">
        <v>10</v>
      </c>
      <c r="C12" t="s">
        <v>13</v>
      </c>
      <c r="D12" t="s">
        <v>14</v>
      </c>
      <c r="F12" s="43"/>
      <c r="G12" s="26"/>
      <c r="H12" s="26"/>
      <c r="I12" s="26"/>
      <c r="J12" s="26"/>
      <c r="K12" s="26"/>
      <c r="L12" s="27"/>
    </row>
    <row r="13" spans="1:12" x14ac:dyDescent="0.25">
      <c r="A13" s="21" t="s">
        <v>23</v>
      </c>
      <c r="B13" s="7" t="s">
        <v>10</v>
      </c>
      <c r="C13" s="7" t="s">
        <v>11</v>
      </c>
      <c r="D13" s="7" t="s">
        <v>14</v>
      </c>
      <c r="E13" s="7"/>
      <c r="F13" s="42"/>
      <c r="G13" s="20">
        <v>3932.08</v>
      </c>
      <c r="H13" s="22">
        <v>0</v>
      </c>
      <c r="I13" s="22">
        <v>0</v>
      </c>
      <c r="J13" s="22">
        <v>0</v>
      </c>
      <c r="K13" s="22">
        <f t="shared" ref="K13" si="0">L13+G13</f>
        <v>0</v>
      </c>
      <c r="L13" s="23">
        <v>-3932.08</v>
      </c>
    </row>
    <row r="14" spans="1:12" x14ac:dyDescent="0.25">
      <c r="A14" s="25" t="s">
        <v>21</v>
      </c>
      <c r="B14" t="s">
        <v>10</v>
      </c>
      <c r="C14" t="s">
        <v>72</v>
      </c>
      <c r="D14" t="s">
        <v>14</v>
      </c>
      <c r="F14" s="43"/>
      <c r="G14" s="26"/>
      <c r="H14" s="26"/>
      <c r="I14" s="26"/>
      <c r="J14" s="26">
        <v>0</v>
      </c>
      <c r="K14" s="26">
        <v>0</v>
      </c>
      <c r="L14" s="27">
        <v>0</v>
      </c>
    </row>
    <row r="15" spans="1:12" x14ac:dyDescent="0.25">
      <c r="A15" s="21" t="s">
        <v>22</v>
      </c>
      <c r="B15" s="7" t="s">
        <v>10</v>
      </c>
      <c r="C15" s="7" t="s">
        <v>11</v>
      </c>
      <c r="D15" s="7" t="s">
        <v>14</v>
      </c>
      <c r="E15" s="7"/>
      <c r="F15" s="42"/>
      <c r="G15" s="22">
        <v>2260</v>
      </c>
      <c r="H15" s="22">
        <v>0</v>
      </c>
      <c r="I15" s="22">
        <v>0</v>
      </c>
      <c r="J15" s="22">
        <v>0</v>
      </c>
      <c r="K15" s="22">
        <f t="shared" ref="K15" si="1">L15+G15</f>
        <v>0</v>
      </c>
      <c r="L15" s="23">
        <v>-2260</v>
      </c>
    </row>
    <row r="16" spans="1:12" x14ac:dyDescent="0.25">
      <c r="A16" s="13" t="s">
        <v>18</v>
      </c>
      <c r="B16" s="2" t="s">
        <v>10</v>
      </c>
      <c r="C16" s="2" t="s">
        <v>13</v>
      </c>
      <c r="D16" s="2" t="s">
        <v>14</v>
      </c>
      <c r="E16" s="2"/>
      <c r="F16" s="41"/>
      <c r="G16" s="14">
        <v>-16068</v>
      </c>
      <c r="H16" s="15">
        <v>8032</v>
      </c>
      <c r="I16" s="15">
        <v>0</v>
      </c>
      <c r="J16" s="15">
        <v>0</v>
      </c>
      <c r="K16" s="15">
        <f>H16+G16</f>
        <v>-8036</v>
      </c>
      <c r="L16" s="16">
        <f>J16+I16+H16+G16</f>
        <v>-8036</v>
      </c>
    </row>
    <row r="17" spans="1:12" ht="31.5" x14ac:dyDescent="0.25">
      <c r="A17" s="13" t="s">
        <v>25</v>
      </c>
      <c r="B17" s="2" t="s">
        <v>10</v>
      </c>
      <c r="C17" s="2" t="s">
        <v>13</v>
      </c>
      <c r="D17" s="2" t="s">
        <v>14</v>
      </c>
      <c r="E17" s="2"/>
      <c r="F17" s="41"/>
      <c r="G17" s="14">
        <v>1300</v>
      </c>
      <c r="H17" s="15">
        <v>0</v>
      </c>
      <c r="I17" s="15">
        <v>131.63</v>
      </c>
      <c r="J17" s="15">
        <v>16.25</v>
      </c>
      <c r="K17" s="15">
        <f>L17+G17</f>
        <v>1447.88</v>
      </c>
      <c r="L17" s="16">
        <f>J17+I17+H17</f>
        <v>147.88</v>
      </c>
    </row>
    <row r="18" spans="1:12" x14ac:dyDescent="0.25">
      <c r="A18" s="13" t="s">
        <v>32</v>
      </c>
      <c r="B18" s="2" t="s">
        <v>33</v>
      </c>
      <c r="C18" s="2" t="s">
        <v>13</v>
      </c>
      <c r="D18" s="2" t="s">
        <v>14</v>
      </c>
      <c r="E18" s="2"/>
      <c r="F18" s="41"/>
      <c r="G18" s="14">
        <v>2378</v>
      </c>
      <c r="H18" s="15">
        <v>0</v>
      </c>
      <c r="I18" s="15">
        <v>240.78</v>
      </c>
      <c r="J18" s="15">
        <v>29.73</v>
      </c>
      <c r="K18" s="15">
        <f>L18+G18</f>
        <v>2648.51</v>
      </c>
      <c r="L18" s="16">
        <f>J18+I18+H18</f>
        <v>270.51</v>
      </c>
    </row>
    <row r="19" spans="1:12" x14ac:dyDescent="0.25">
      <c r="A19" s="28" t="s">
        <v>31</v>
      </c>
      <c r="B19" s="4" t="s">
        <v>10</v>
      </c>
      <c r="C19" s="4" t="s">
        <v>11</v>
      </c>
      <c r="D19" s="4" t="s">
        <v>14</v>
      </c>
      <c r="E19" s="4"/>
      <c r="F19" s="44"/>
      <c r="G19" s="20">
        <v>-3321.25</v>
      </c>
      <c r="H19" s="14">
        <v>0</v>
      </c>
      <c r="I19" s="14">
        <v>0</v>
      </c>
      <c r="J19" s="14">
        <v>0</v>
      </c>
      <c r="K19" s="14">
        <f>L19+G19</f>
        <v>-3321.25</v>
      </c>
      <c r="L19" s="29">
        <f>J19+I19+H19</f>
        <v>0</v>
      </c>
    </row>
    <row r="20" spans="1:12" x14ac:dyDescent="0.25">
      <c r="A20" s="13" t="s">
        <v>15</v>
      </c>
      <c r="B20" s="2" t="s">
        <v>10</v>
      </c>
      <c r="C20" s="2" t="s">
        <v>13</v>
      </c>
      <c r="D20" s="2" t="s">
        <v>14</v>
      </c>
      <c r="E20" s="2"/>
      <c r="F20" s="41"/>
      <c r="G20" s="20">
        <v>1650</v>
      </c>
      <c r="H20" s="15">
        <v>850</v>
      </c>
      <c r="I20" s="15">
        <v>253.13</v>
      </c>
      <c r="J20" s="15">
        <v>31.25</v>
      </c>
      <c r="K20" s="15">
        <f>L20+G20</f>
        <v>2784.38</v>
      </c>
      <c r="L20" s="16">
        <f>J20+I20+H20</f>
        <v>1134.3800000000001</v>
      </c>
    </row>
    <row r="21" spans="1:12" x14ac:dyDescent="0.25">
      <c r="A21" s="30" t="s">
        <v>16</v>
      </c>
      <c r="B21" s="8" t="s">
        <v>10</v>
      </c>
      <c r="C21" s="8" t="s">
        <v>75</v>
      </c>
      <c r="D21" s="8" t="s">
        <v>12</v>
      </c>
      <c r="E21" s="8"/>
      <c r="F21" s="45"/>
      <c r="G21" s="20">
        <v>80437.5</v>
      </c>
      <c r="H21" s="31">
        <v>-80437.5</v>
      </c>
      <c r="I21" s="31">
        <v>0</v>
      </c>
      <c r="J21" s="31">
        <v>0</v>
      </c>
      <c r="K21" s="31">
        <f>H21+G21</f>
        <v>0</v>
      </c>
      <c r="L21" s="32">
        <f>J21+I21+H21+G21</f>
        <v>0</v>
      </c>
    </row>
    <row r="22" spans="1:12" x14ac:dyDescent="0.25">
      <c r="A22" s="30" t="s">
        <v>9</v>
      </c>
      <c r="B22" s="8" t="s">
        <v>10</v>
      </c>
      <c r="C22" s="8" t="s">
        <v>75</v>
      </c>
      <c r="D22" s="8" t="s">
        <v>12</v>
      </c>
      <c r="E22" s="8"/>
      <c r="F22" s="45"/>
      <c r="G22" s="20">
        <v>4304.37</v>
      </c>
      <c r="H22" s="31">
        <v>0</v>
      </c>
      <c r="I22" s="31">
        <v>0</v>
      </c>
      <c r="J22" s="31">
        <v>0</v>
      </c>
      <c r="K22" s="31">
        <f>H22+G22</f>
        <v>4304.37</v>
      </c>
      <c r="L22" s="32">
        <f>J22+I22+H22+G22</f>
        <v>4304.37</v>
      </c>
    </row>
    <row r="23" spans="1:12" x14ac:dyDescent="0.25">
      <c r="A23" s="13" t="s">
        <v>76</v>
      </c>
      <c r="B23" s="2" t="s">
        <v>10</v>
      </c>
      <c r="C23" s="2" t="s">
        <v>13</v>
      </c>
      <c r="D23" s="2" t="s">
        <v>14</v>
      </c>
      <c r="E23" s="2"/>
      <c r="F23" s="41"/>
      <c r="G23" s="20">
        <v>15000</v>
      </c>
      <c r="H23" s="15">
        <v>531.25</v>
      </c>
      <c r="I23" s="15">
        <v>0</v>
      </c>
      <c r="J23" s="15">
        <v>0</v>
      </c>
      <c r="K23" s="15">
        <v>0</v>
      </c>
      <c r="L23" s="16">
        <v>0</v>
      </c>
    </row>
    <row r="24" spans="1:12" x14ac:dyDescent="0.25">
      <c r="A24" s="13" t="s">
        <v>77</v>
      </c>
      <c r="B24" s="2" t="s">
        <v>10</v>
      </c>
      <c r="C24" s="2" t="s">
        <v>13</v>
      </c>
      <c r="D24" s="2" t="s">
        <v>14</v>
      </c>
      <c r="E24" s="2"/>
      <c r="F24" s="41"/>
      <c r="G24" s="20">
        <v>19000</v>
      </c>
      <c r="H24" s="15">
        <v>1412.5</v>
      </c>
      <c r="I24" s="15">
        <v>0</v>
      </c>
      <c r="J24" s="15">
        <v>0</v>
      </c>
      <c r="K24" s="15">
        <v>0</v>
      </c>
      <c r="L24" s="16">
        <v>0</v>
      </c>
    </row>
    <row r="25" spans="1:12" x14ac:dyDescent="0.25">
      <c r="A25" s="13" t="s">
        <v>78</v>
      </c>
      <c r="B25" s="2" t="s">
        <v>10</v>
      </c>
      <c r="C25" s="2" t="s">
        <v>13</v>
      </c>
      <c r="D25" s="2" t="s">
        <v>14</v>
      </c>
      <c r="E25" s="2"/>
      <c r="F25" s="41"/>
      <c r="G25" s="20">
        <v>181542</v>
      </c>
      <c r="H25" s="15">
        <v>-20423.47</v>
      </c>
      <c r="I25" s="15">
        <v>0</v>
      </c>
      <c r="J25" s="15">
        <v>0</v>
      </c>
      <c r="K25" s="15">
        <v>0</v>
      </c>
      <c r="L25" s="16">
        <v>0</v>
      </c>
    </row>
    <row r="26" spans="1:12" x14ac:dyDescent="0.25">
      <c r="A26" s="13" t="s">
        <v>79</v>
      </c>
      <c r="B26" s="2" t="s">
        <v>10</v>
      </c>
      <c r="C26" s="2" t="s">
        <v>13</v>
      </c>
      <c r="D26" s="2" t="s">
        <v>14</v>
      </c>
      <c r="E26" s="2"/>
      <c r="F26" s="41"/>
      <c r="G26" s="20">
        <v>-2060.1999999999998</v>
      </c>
      <c r="H26" s="15">
        <v>0</v>
      </c>
      <c r="I26" s="15">
        <v>0</v>
      </c>
      <c r="J26" s="15">
        <v>0</v>
      </c>
      <c r="K26" s="15">
        <v>0</v>
      </c>
      <c r="L26" s="16">
        <v>0</v>
      </c>
    </row>
    <row r="27" spans="1:12" x14ac:dyDescent="0.25">
      <c r="A27" s="13" t="s">
        <v>80</v>
      </c>
      <c r="B27" s="2" t="s">
        <v>10</v>
      </c>
      <c r="C27" s="2" t="s">
        <v>13</v>
      </c>
      <c r="D27" s="2" t="s">
        <v>14</v>
      </c>
      <c r="E27" s="2"/>
      <c r="F27" s="41"/>
      <c r="G27" s="20">
        <v>2030</v>
      </c>
      <c r="H27" s="15">
        <v>1520</v>
      </c>
      <c r="I27" s="15">
        <v>0</v>
      </c>
      <c r="J27" s="15">
        <v>0</v>
      </c>
      <c r="K27" s="15">
        <v>0</v>
      </c>
      <c r="L27" s="16">
        <v>0</v>
      </c>
    </row>
    <row r="28" spans="1:12" x14ac:dyDescent="0.25">
      <c r="A28" s="13" t="s">
        <v>81</v>
      </c>
      <c r="B28" s="2" t="s">
        <v>10</v>
      </c>
      <c r="C28" s="2" t="s">
        <v>13</v>
      </c>
      <c r="D28" s="2" t="s">
        <v>14</v>
      </c>
      <c r="E28" s="2"/>
      <c r="F28" s="41"/>
      <c r="G28" s="20">
        <v>4629.5600000000004</v>
      </c>
      <c r="H28" s="15">
        <v>872.94</v>
      </c>
      <c r="I28" s="15">
        <v>0</v>
      </c>
      <c r="J28" s="15">
        <v>0</v>
      </c>
      <c r="K28" s="15">
        <v>0</v>
      </c>
      <c r="L28" s="16">
        <v>0</v>
      </c>
    </row>
    <row r="29" spans="1:12" ht="31.5" x14ac:dyDescent="0.25">
      <c r="A29" s="13" t="s">
        <v>82</v>
      </c>
      <c r="B29" s="2" t="s">
        <v>10</v>
      </c>
      <c r="C29" s="2" t="s">
        <v>13</v>
      </c>
      <c r="D29" s="2" t="s">
        <v>14</v>
      </c>
      <c r="E29" s="2"/>
      <c r="F29" s="41"/>
      <c r="G29" s="20">
        <v>-3722</v>
      </c>
      <c r="H29" s="15">
        <v>0</v>
      </c>
      <c r="I29" s="15">
        <v>0</v>
      </c>
      <c r="J29" s="15">
        <v>0</v>
      </c>
      <c r="K29" s="15">
        <v>0</v>
      </c>
      <c r="L29" s="16">
        <v>0</v>
      </c>
    </row>
    <row r="30" spans="1:12" x14ac:dyDescent="0.25">
      <c r="A30" s="13" t="s">
        <v>83</v>
      </c>
      <c r="B30" s="2" t="s">
        <v>10</v>
      </c>
      <c r="C30" s="2" t="s">
        <v>13</v>
      </c>
      <c r="D30" s="2" t="s">
        <v>14</v>
      </c>
      <c r="E30" s="2"/>
      <c r="F30" s="41"/>
      <c r="G30" s="20">
        <v>-1600</v>
      </c>
      <c r="H30" s="15">
        <v>0</v>
      </c>
      <c r="I30" s="15">
        <v>0</v>
      </c>
      <c r="J30" s="15">
        <v>0</v>
      </c>
      <c r="K30" s="15">
        <v>0</v>
      </c>
      <c r="L30" s="16">
        <v>0</v>
      </c>
    </row>
    <row r="31" spans="1:12" x14ac:dyDescent="0.25">
      <c r="A31" s="13" t="s">
        <v>84</v>
      </c>
      <c r="B31" s="2" t="s">
        <v>10</v>
      </c>
      <c r="C31" s="2" t="s">
        <v>13</v>
      </c>
      <c r="D31" s="2" t="s">
        <v>14</v>
      </c>
      <c r="E31" s="2"/>
      <c r="F31" s="41"/>
      <c r="G31" s="20">
        <v>8658.82</v>
      </c>
      <c r="H31" s="15">
        <v>216.68</v>
      </c>
      <c r="I31" s="15">
        <v>0</v>
      </c>
      <c r="J31" s="15">
        <v>0</v>
      </c>
      <c r="K31" s="15">
        <v>0</v>
      </c>
      <c r="L31" s="16">
        <v>0</v>
      </c>
    </row>
    <row r="32" spans="1:12" x14ac:dyDescent="0.25">
      <c r="A32" s="13" t="s">
        <v>85</v>
      </c>
      <c r="B32" s="2" t="s">
        <v>10</v>
      </c>
      <c r="C32" s="2" t="s">
        <v>13</v>
      </c>
      <c r="D32" s="2" t="s">
        <v>14</v>
      </c>
      <c r="E32" s="2"/>
      <c r="F32" s="41"/>
      <c r="G32" s="15">
        <f>SUM(G23:G31)</f>
        <v>223478.18</v>
      </c>
      <c r="H32" s="15">
        <f>SUM(H23:H31)</f>
        <v>-15870.1</v>
      </c>
      <c r="I32" s="15">
        <v>21020.32</v>
      </c>
      <c r="J32" s="15">
        <v>2595.1</v>
      </c>
      <c r="K32" s="15">
        <f t="shared" ref="K32" si="2">L32+G32</f>
        <v>231223.5</v>
      </c>
      <c r="L32" s="16">
        <f t="shared" ref="L32" si="3">J32+I32+H32</f>
        <v>7745.3199999999979</v>
      </c>
    </row>
    <row r="33" spans="1:12" x14ac:dyDescent="0.25">
      <c r="A33" s="30" t="s">
        <v>35</v>
      </c>
      <c r="B33" s="8" t="s">
        <v>10</v>
      </c>
      <c r="C33" s="8" t="s">
        <v>11</v>
      </c>
      <c r="D33" s="8" t="s">
        <v>12</v>
      </c>
      <c r="E33" s="8"/>
      <c r="F33" s="45"/>
      <c r="G33" s="20">
        <v>6265</v>
      </c>
      <c r="H33" s="31">
        <v>0</v>
      </c>
      <c r="I33" s="31">
        <v>0</v>
      </c>
      <c r="J33" s="31">
        <v>0</v>
      </c>
      <c r="K33" s="31">
        <f>H33+G33</f>
        <v>6265</v>
      </c>
      <c r="L33" s="32">
        <f>J33+I33+H33+G33</f>
        <v>6265</v>
      </c>
    </row>
    <row r="34" spans="1:12" x14ac:dyDescent="0.25">
      <c r="A34" s="21" t="s">
        <v>36</v>
      </c>
      <c r="B34" s="7" t="s">
        <v>10</v>
      </c>
      <c r="C34" s="7" t="s">
        <v>11</v>
      </c>
      <c r="D34" s="7" t="s">
        <v>14</v>
      </c>
      <c r="E34" s="7"/>
      <c r="F34" s="42"/>
      <c r="G34" s="20">
        <v>7286</v>
      </c>
      <c r="H34" s="22">
        <v>0</v>
      </c>
      <c r="I34" s="22">
        <v>0</v>
      </c>
      <c r="J34" s="22">
        <v>0</v>
      </c>
      <c r="K34" s="22">
        <v>0</v>
      </c>
      <c r="L34" s="23">
        <v>-7286</v>
      </c>
    </row>
    <row r="35" spans="1:12" x14ac:dyDescent="0.25">
      <c r="A35" s="13" t="s">
        <v>86</v>
      </c>
      <c r="B35" s="2" t="s">
        <v>33</v>
      </c>
      <c r="C35" s="2" t="s">
        <v>13</v>
      </c>
      <c r="D35" s="2" t="s">
        <v>14</v>
      </c>
      <c r="E35" s="2"/>
      <c r="F35" s="41"/>
      <c r="G35" s="14">
        <v>20</v>
      </c>
      <c r="H35" s="14">
        <v>30</v>
      </c>
      <c r="I35" s="15">
        <v>0</v>
      </c>
      <c r="J35" s="15">
        <v>0</v>
      </c>
      <c r="K35" s="15">
        <v>0</v>
      </c>
      <c r="L35" s="16">
        <f t="shared" ref="L35" si="4">J35+I35+H35</f>
        <v>30</v>
      </c>
    </row>
    <row r="36" spans="1:12" x14ac:dyDescent="0.25">
      <c r="A36" s="13" t="s">
        <v>87</v>
      </c>
      <c r="B36" s="2" t="s">
        <v>33</v>
      </c>
      <c r="C36" s="2" t="s">
        <v>13</v>
      </c>
      <c r="D36" s="2" t="s">
        <v>14</v>
      </c>
      <c r="E36" s="2"/>
      <c r="F36" s="41"/>
      <c r="G36" s="20">
        <v>3868</v>
      </c>
      <c r="H36" s="15">
        <v>0</v>
      </c>
      <c r="I36" s="15">
        <v>0</v>
      </c>
      <c r="J36" s="15">
        <v>0</v>
      </c>
      <c r="K36" s="15">
        <v>0</v>
      </c>
      <c r="L36" s="16">
        <f t="shared" ref="L36:L37" si="5">J36+I36+H36</f>
        <v>0</v>
      </c>
    </row>
    <row r="37" spans="1:12" x14ac:dyDescent="0.25">
      <c r="A37" s="13" t="s">
        <v>88</v>
      </c>
      <c r="B37" s="2" t="s">
        <v>33</v>
      </c>
      <c r="C37" s="2" t="s">
        <v>13</v>
      </c>
      <c r="D37" s="2" t="s">
        <v>14</v>
      </c>
      <c r="E37" s="2"/>
      <c r="F37" s="41"/>
      <c r="G37" s="24">
        <v>13500</v>
      </c>
      <c r="H37" s="15">
        <v>0</v>
      </c>
      <c r="I37" s="15">
        <v>0</v>
      </c>
      <c r="J37" s="15">
        <v>0</v>
      </c>
      <c r="K37" s="15">
        <v>0</v>
      </c>
      <c r="L37" s="16">
        <f t="shared" si="5"/>
        <v>0</v>
      </c>
    </row>
    <row r="38" spans="1:12" x14ac:dyDescent="0.25">
      <c r="A38" s="13" t="s">
        <v>89</v>
      </c>
      <c r="B38" s="2" t="s">
        <v>33</v>
      </c>
      <c r="C38" s="2" t="s">
        <v>13</v>
      </c>
      <c r="D38" s="2" t="s">
        <v>14</v>
      </c>
      <c r="E38" s="2"/>
      <c r="F38" s="41"/>
      <c r="G38" s="24">
        <v>2500</v>
      </c>
      <c r="H38" s="15">
        <v>0</v>
      </c>
      <c r="I38" s="15">
        <v>0</v>
      </c>
      <c r="J38" s="15">
        <v>0</v>
      </c>
      <c r="K38" s="15">
        <v>0</v>
      </c>
      <c r="L38" s="16">
        <f t="shared" ref="L38:L41" si="6">J38+I38+H38</f>
        <v>0</v>
      </c>
    </row>
    <row r="39" spans="1:12" x14ac:dyDescent="0.25">
      <c r="A39" s="13" t="s">
        <v>90</v>
      </c>
      <c r="B39" s="2" t="s">
        <v>33</v>
      </c>
      <c r="C39" s="2" t="s">
        <v>13</v>
      </c>
      <c r="D39" s="2" t="s">
        <v>14</v>
      </c>
      <c r="E39" s="2"/>
      <c r="F39" s="41"/>
      <c r="G39" s="24">
        <v>18000</v>
      </c>
      <c r="H39" s="15">
        <v>0</v>
      </c>
      <c r="I39" s="15">
        <v>0</v>
      </c>
      <c r="J39" s="15">
        <v>0</v>
      </c>
      <c r="K39" s="15">
        <v>0</v>
      </c>
      <c r="L39" s="16">
        <f t="shared" si="6"/>
        <v>0</v>
      </c>
    </row>
    <row r="40" spans="1:12" x14ac:dyDescent="0.25">
      <c r="A40" s="13" t="s">
        <v>91</v>
      </c>
      <c r="B40" s="2" t="s">
        <v>33</v>
      </c>
      <c r="C40" s="2" t="s">
        <v>13</v>
      </c>
      <c r="D40" s="2" t="s">
        <v>14</v>
      </c>
      <c r="E40" s="2"/>
      <c r="F40" s="41"/>
      <c r="G40" s="24">
        <v>3500</v>
      </c>
      <c r="H40" s="15">
        <v>0</v>
      </c>
      <c r="I40" s="15">
        <v>0</v>
      </c>
      <c r="J40" s="15">
        <v>0</v>
      </c>
      <c r="K40" s="15">
        <v>0</v>
      </c>
      <c r="L40" s="16">
        <f t="shared" si="6"/>
        <v>0</v>
      </c>
    </row>
    <row r="41" spans="1:12" x14ac:dyDescent="0.25">
      <c r="A41" s="13" t="s">
        <v>92</v>
      </c>
      <c r="B41" s="2" t="s">
        <v>33</v>
      </c>
      <c r="C41" s="2" t="s">
        <v>13</v>
      </c>
      <c r="D41" s="2" t="s">
        <v>14</v>
      </c>
      <c r="E41" s="2"/>
      <c r="F41" s="41"/>
      <c r="G41" s="20">
        <v>1800</v>
      </c>
      <c r="H41" s="15">
        <v>0</v>
      </c>
      <c r="I41" s="15">
        <v>0</v>
      </c>
      <c r="J41" s="15">
        <v>0</v>
      </c>
      <c r="K41" s="15">
        <v>0</v>
      </c>
      <c r="L41" s="16">
        <f t="shared" si="6"/>
        <v>0</v>
      </c>
    </row>
    <row r="42" spans="1:12" x14ac:dyDescent="0.25">
      <c r="A42" s="13" t="s">
        <v>93</v>
      </c>
      <c r="B42" s="2" t="s">
        <v>33</v>
      </c>
      <c r="C42" s="2" t="s">
        <v>13</v>
      </c>
      <c r="D42" s="2" t="s">
        <v>14</v>
      </c>
      <c r="E42" s="2"/>
      <c r="F42" s="41"/>
      <c r="G42" s="24">
        <v>2500</v>
      </c>
      <c r="H42" s="15">
        <v>0</v>
      </c>
      <c r="I42" s="15">
        <v>0</v>
      </c>
      <c r="J42" s="15">
        <v>0</v>
      </c>
      <c r="K42" s="15">
        <v>0</v>
      </c>
      <c r="L42" s="16">
        <f t="shared" ref="L42:L45" si="7">J42+I42+H42</f>
        <v>0</v>
      </c>
    </row>
    <row r="43" spans="1:12" x14ac:dyDescent="0.25">
      <c r="A43" s="13" t="s">
        <v>94</v>
      </c>
      <c r="B43" s="2" t="s">
        <v>33</v>
      </c>
      <c r="C43" s="2" t="s">
        <v>13</v>
      </c>
      <c r="D43" s="2" t="s">
        <v>14</v>
      </c>
      <c r="E43" s="2"/>
      <c r="F43" s="41"/>
      <c r="G43" s="24">
        <v>2500</v>
      </c>
      <c r="H43" s="15">
        <v>0</v>
      </c>
      <c r="I43" s="15">
        <v>0</v>
      </c>
      <c r="J43" s="15">
        <v>0</v>
      </c>
      <c r="K43" s="15">
        <v>0</v>
      </c>
      <c r="L43" s="16">
        <f t="shared" si="7"/>
        <v>0</v>
      </c>
    </row>
    <row r="44" spans="1:12" x14ac:dyDescent="0.25">
      <c r="A44" s="13" t="s">
        <v>95</v>
      </c>
      <c r="B44" s="2" t="s">
        <v>33</v>
      </c>
      <c r="C44" s="2" t="s">
        <v>13</v>
      </c>
      <c r="D44" s="2" t="s">
        <v>14</v>
      </c>
      <c r="E44" s="2"/>
      <c r="F44" s="41"/>
      <c r="G44" s="24">
        <v>0</v>
      </c>
      <c r="H44" s="15">
        <v>3500</v>
      </c>
      <c r="I44" s="15">
        <v>0</v>
      </c>
      <c r="J44" s="15">
        <v>0</v>
      </c>
      <c r="K44" s="15">
        <v>0</v>
      </c>
      <c r="L44" s="16">
        <v>0</v>
      </c>
    </row>
    <row r="45" spans="1:12" x14ac:dyDescent="0.25">
      <c r="A45" s="13" t="s">
        <v>96</v>
      </c>
      <c r="B45" s="2" t="s">
        <v>33</v>
      </c>
      <c r="C45" s="2" t="s">
        <v>13</v>
      </c>
      <c r="D45" s="2" t="s">
        <v>14</v>
      </c>
      <c r="E45" s="2"/>
      <c r="F45" s="41"/>
      <c r="G45" s="20">
        <v>22225</v>
      </c>
      <c r="H45" s="15">
        <v>0</v>
      </c>
      <c r="I45" s="15">
        <v>0</v>
      </c>
      <c r="J45" s="15">
        <v>0</v>
      </c>
      <c r="K45" s="15">
        <v>0</v>
      </c>
      <c r="L45" s="16">
        <f t="shared" si="7"/>
        <v>0</v>
      </c>
    </row>
    <row r="46" spans="1:12" x14ac:dyDescent="0.25">
      <c r="A46" s="13" t="s">
        <v>97</v>
      </c>
      <c r="B46" s="2" t="s">
        <v>33</v>
      </c>
      <c r="C46" s="2" t="s">
        <v>13</v>
      </c>
      <c r="D46" s="2" t="s">
        <v>14</v>
      </c>
      <c r="E46" s="2"/>
      <c r="F46" s="41"/>
      <c r="G46" s="20">
        <v>17000</v>
      </c>
      <c r="H46" s="15">
        <v>0</v>
      </c>
      <c r="I46" s="15">
        <v>0</v>
      </c>
      <c r="J46" s="15">
        <v>0</v>
      </c>
      <c r="K46" s="15">
        <v>0</v>
      </c>
      <c r="L46" s="16">
        <f t="shared" ref="L46:L47" si="8">J46+I46+H46</f>
        <v>0</v>
      </c>
    </row>
    <row r="47" spans="1:12" x14ac:dyDescent="0.25">
      <c r="A47" s="13" t="s">
        <v>98</v>
      </c>
      <c r="B47" s="2" t="s">
        <v>33</v>
      </c>
      <c r="C47" s="2" t="s">
        <v>13</v>
      </c>
      <c r="D47" s="2" t="s">
        <v>14</v>
      </c>
      <c r="E47" s="2"/>
      <c r="F47" s="41"/>
      <c r="G47" s="20">
        <v>2500</v>
      </c>
      <c r="H47" s="15">
        <v>0</v>
      </c>
      <c r="I47" s="15">
        <v>0</v>
      </c>
      <c r="J47" s="15">
        <v>0</v>
      </c>
      <c r="K47" s="15">
        <v>0</v>
      </c>
      <c r="L47" s="16">
        <f t="shared" si="8"/>
        <v>0</v>
      </c>
    </row>
    <row r="48" spans="1:12" x14ac:dyDescent="0.25">
      <c r="A48" s="13" t="s">
        <v>34</v>
      </c>
      <c r="B48" s="2" t="s">
        <v>33</v>
      </c>
      <c r="C48" s="2" t="s">
        <v>13</v>
      </c>
      <c r="D48" s="2" t="s">
        <v>14</v>
      </c>
      <c r="E48" s="2"/>
      <c r="F48" s="41"/>
      <c r="G48" s="15">
        <f>SUM(G35:G47)</f>
        <v>89913</v>
      </c>
      <c r="H48" s="15">
        <f>SUM(H35:H47)</f>
        <v>3530</v>
      </c>
      <c r="I48" s="15">
        <v>9461.14</v>
      </c>
      <c r="J48" s="15">
        <v>1168.04</v>
      </c>
      <c r="K48" s="15">
        <f t="shared" ref="K48" si="9">L48+G48</f>
        <v>104072.18</v>
      </c>
      <c r="L48" s="16">
        <f t="shared" ref="L48" si="10">J48+I48+H48</f>
        <v>14159.18</v>
      </c>
    </row>
    <row r="49" spans="1:12" x14ac:dyDescent="0.25">
      <c r="A49" s="13" t="s">
        <v>37</v>
      </c>
      <c r="B49" s="2" t="s">
        <v>33</v>
      </c>
      <c r="C49" s="2" t="s">
        <v>13</v>
      </c>
      <c r="D49" s="2" t="s">
        <v>14</v>
      </c>
      <c r="E49" s="2"/>
      <c r="F49" s="41"/>
      <c r="G49" s="20">
        <v>48016</v>
      </c>
      <c r="H49" s="15">
        <v>1984</v>
      </c>
      <c r="I49" s="15">
        <v>5062.5</v>
      </c>
      <c r="J49" s="15">
        <v>625</v>
      </c>
      <c r="K49" s="15">
        <f t="shared" ref="K49" si="11">L49+G49</f>
        <v>55687.5</v>
      </c>
      <c r="L49" s="16">
        <f t="shared" ref="L49" si="12">J49+I49+H49</f>
        <v>7671.5</v>
      </c>
    </row>
    <row r="50" spans="1:12" x14ac:dyDescent="0.25">
      <c r="A50" s="21" t="s">
        <v>38</v>
      </c>
      <c r="B50" s="7" t="s">
        <v>33</v>
      </c>
      <c r="C50" s="7" t="s">
        <v>11</v>
      </c>
      <c r="D50" s="7" t="s">
        <v>14</v>
      </c>
      <c r="E50" s="7"/>
      <c r="F50" s="42"/>
      <c r="G50" s="20">
        <v>23579</v>
      </c>
      <c r="H50" s="22">
        <v>0</v>
      </c>
      <c r="I50" s="22">
        <v>0</v>
      </c>
      <c r="J50" s="22">
        <v>0</v>
      </c>
      <c r="K50" s="22">
        <f t="shared" ref="K50:K51" si="13">L50+G50</f>
        <v>0</v>
      </c>
      <c r="L50" s="23">
        <v>-23579</v>
      </c>
    </row>
    <row r="51" spans="1:12" x14ac:dyDescent="0.25">
      <c r="A51" s="28" t="s">
        <v>39</v>
      </c>
      <c r="B51" s="4" t="s">
        <v>10</v>
      </c>
      <c r="C51" s="4" t="s">
        <v>11</v>
      </c>
      <c r="D51" s="4" t="s">
        <v>14</v>
      </c>
      <c r="E51" s="4"/>
      <c r="F51" s="44"/>
      <c r="G51" s="20">
        <v>-1545</v>
      </c>
      <c r="H51" s="14">
        <v>0</v>
      </c>
      <c r="I51" s="14">
        <v>0</v>
      </c>
      <c r="J51" s="14">
        <v>0</v>
      </c>
      <c r="K51" s="14">
        <f t="shared" si="13"/>
        <v>-1545</v>
      </c>
      <c r="L51" s="29">
        <f t="shared" ref="L51" si="14">J51+I51+H51</f>
        <v>0</v>
      </c>
    </row>
    <row r="52" spans="1:12" x14ac:dyDescent="0.25">
      <c r="A52" s="13" t="s">
        <v>40</v>
      </c>
      <c r="B52" s="2" t="s">
        <v>10</v>
      </c>
      <c r="C52" s="2" t="s">
        <v>11</v>
      </c>
      <c r="D52" s="2" t="s">
        <v>14</v>
      </c>
      <c r="E52" s="2"/>
      <c r="F52" s="41"/>
      <c r="G52" s="20">
        <v>-2532</v>
      </c>
      <c r="H52" s="15">
        <v>0</v>
      </c>
      <c r="I52" s="15">
        <v>0</v>
      </c>
      <c r="J52" s="15">
        <v>0</v>
      </c>
      <c r="K52" s="15">
        <f t="shared" ref="K52" si="15">L52+G52</f>
        <v>-2532</v>
      </c>
      <c r="L52" s="16">
        <f t="shared" ref="L52" si="16">J52+I52+H52</f>
        <v>0</v>
      </c>
    </row>
    <row r="53" spans="1:12" x14ac:dyDescent="0.25">
      <c r="A53" s="21" t="s">
        <v>41</v>
      </c>
      <c r="B53" s="7" t="s">
        <v>10</v>
      </c>
      <c r="C53" s="7" t="s">
        <v>11</v>
      </c>
      <c r="D53" s="7" t="s">
        <v>14</v>
      </c>
      <c r="E53" s="7"/>
      <c r="F53" s="42"/>
      <c r="G53" s="20">
        <v>34150</v>
      </c>
      <c r="H53" s="22">
        <v>0</v>
      </c>
      <c r="I53" s="22">
        <v>0</v>
      </c>
      <c r="J53" s="22">
        <v>0</v>
      </c>
      <c r="K53" s="22">
        <f t="shared" ref="K53:K54" si="17">L53+G53</f>
        <v>0</v>
      </c>
      <c r="L53" s="23">
        <v>-34150</v>
      </c>
    </row>
    <row r="54" spans="1:12" ht="31.5" x14ac:dyDescent="0.25">
      <c r="A54" s="21" t="s">
        <v>42</v>
      </c>
      <c r="B54" s="7" t="s">
        <v>10</v>
      </c>
      <c r="C54" s="7" t="s">
        <v>11</v>
      </c>
      <c r="D54" s="7" t="s">
        <v>14</v>
      </c>
      <c r="E54" s="7"/>
      <c r="F54" s="42"/>
      <c r="G54" s="20">
        <v>20160</v>
      </c>
      <c r="H54" s="22">
        <v>0</v>
      </c>
      <c r="I54" s="22">
        <v>0</v>
      </c>
      <c r="J54" s="22">
        <v>0</v>
      </c>
      <c r="K54" s="22">
        <f t="shared" si="17"/>
        <v>0</v>
      </c>
      <c r="L54" s="23">
        <v>-20160</v>
      </c>
    </row>
    <row r="55" spans="1:12" x14ac:dyDescent="0.25">
      <c r="A55" s="13" t="s">
        <v>99</v>
      </c>
      <c r="B55" s="2" t="s">
        <v>33</v>
      </c>
      <c r="C55" s="2" t="s">
        <v>13</v>
      </c>
      <c r="D55" s="2" t="s">
        <v>14</v>
      </c>
      <c r="E55" s="2"/>
      <c r="F55" s="41"/>
      <c r="G55" s="20">
        <v>54836.86</v>
      </c>
      <c r="H55" s="15">
        <v>5163.1400000000003</v>
      </c>
      <c r="I55" s="15">
        <v>0</v>
      </c>
      <c r="J55" s="15">
        <v>0</v>
      </c>
      <c r="K55" s="15">
        <v>0</v>
      </c>
      <c r="L55" s="16">
        <v>0</v>
      </c>
    </row>
    <row r="56" spans="1:12" x14ac:dyDescent="0.25">
      <c r="A56" s="13" t="s">
        <v>100</v>
      </c>
      <c r="B56" s="2" t="s">
        <v>33</v>
      </c>
      <c r="C56" s="2" t="s">
        <v>13</v>
      </c>
      <c r="D56" s="2" t="s">
        <v>14</v>
      </c>
      <c r="E56" s="2"/>
      <c r="F56" s="41"/>
      <c r="G56" s="20">
        <v>1500</v>
      </c>
      <c r="H56" s="15">
        <v>1500</v>
      </c>
      <c r="I56" s="15">
        <v>0</v>
      </c>
      <c r="J56" s="15">
        <v>0</v>
      </c>
      <c r="K56" s="15">
        <v>0</v>
      </c>
      <c r="L56" s="16">
        <v>0</v>
      </c>
    </row>
    <row r="57" spans="1:12" x14ac:dyDescent="0.25">
      <c r="A57" s="13" t="s">
        <v>101</v>
      </c>
      <c r="B57" s="2" t="s">
        <v>33</v>
      </c>
      <c r="C57" s="2" t="s">
        <v>13</v>
      </c>
      <c r="D57" s="2" t="s">
        <v>129</v>
      </c>
      <c r="E57" s="2"/>
      <c r="F57" s="41"/>
      <c r="G57" s="24">
        <v>1200</v>
      </c>
      <c r="H57" s="15">
        <v>800</v>
      </c>
      <c r="I57" s="15">
        <v>0</v>
      </c>
      <c r="J57" s="15">
        <v>0</v>
      </c>
      <c r="K57" s="15">
        <v>0</v>
      </c>
      <c r="L57" s="16">
        <v>0</v>
      </c>
    </row>
    <row r="58" spans="1:12" x14ac:dyDescent="0.25">
      <c r="A58" s="13" t="s">
        <v>102</v>
      </c>
      <c r="B58" s="2" t="s">
        <v>33</v>
      </c>
      <c r="C58" s="2" t="s">
        <v>13</v>
      </c>
      <c r="D58" s="2" t="s">
        <v>14</v>
      </c>
      <c r="E58" s="2"/>
      <c r="F58" s="41"/>
      <c r="G58" s="20">
        <v>5500</v>
      </c>
      <c r="H58" s="15">
        <v>2000</v>
      </c>
      <c r="I58" s="15">
        <v>0</v>
      </c>
      <c r="J58" s="15">
        <v>0</v>
      </c>
      <c r="K58" s="15">
        <v>0</v>
      </c>
      <c r="L58" s="16">
        <v>0</v>
      </c>
    </row>
    <row r="59" spans="1:12" x14ac:dyDescent="0.25">
      <c r="A59" s="13" t="s">
        <v>43</v>
      </c>
      <c r="B59" s="2" t="s">
        <v>33</v>
      </c>
      <c r="C59" s="2" t="s">
        <v>13</v>
      </c>
      <c r="D59" s="2" t="s">
        <v>14</v>
      </c>
      <c r="E59" s="2"/>
      <c r="F59" s="41"/>
      <c r="G59" s="15">
        <f>SUM(G55:G58)</f>
        <v>63036.86</v>
      </c>
      <c r="H59" s="15">
        <f>SUM(H55:H58)</f>
        <v>9463.14</v>
      </c>
      <c r="I59" s="15">
        <v>7340.63</v>
      </c>
      <c r="J59" s="15">
        <v>906.25</v>
      </c>
      <c r="K59" s="15">
        <f t="shared" ref="K59" si="18">L59+G59</f>
        <v>80746.880000000005</v>
      </c>
      <c r="L59" s="16">
        <f t="shared" ref="L59" si="19">J59+I59+H59</f>
        <v>17710.02</v>
      </c>
    </row>
    <row r="60" spans="1:12" x14ac:dyDescent="0.25">
      <c r="A60" s="30" t="s">
        <v>103</v>
      </c>
      <c r="B60" s="8" t="s">
        <v>10</v>
      </c>
      <c r="C60" s="8" t="s">
        <v>13</v>
      </c>
      <c r="D60" s="8" t="s">
        <v>14</v>
      </c>
      <c r="E60" s="8"/>
      <c r="F60" s="45"/>
      <c r="G60" s="31">
        <v>10569</v>
      </c>
      <c r="H60" s="31">
        <v>0</v>
      </c>
      <c r="I60" s="31">
        <v>0</v>
      </c>
      <c r="J60" s="31">
        <v>0</v>
      </c>
      <c r="K60" s="31">
        <v>0</v>
      </c>
      <c r="L60" s="32">
        <v>-10569</v>
      </c>
    </row>
    <row r="61" spans="1:12" x14ac:dyDescent="0.25">
      <c r="A61" s="21" t="s">
        <v>47</v>
      </c>
      <c r="B61" s="7" t="s">
        <v>10</v>
      </c>
      <c r="C61" s="7" t="s">
        <v>11</v>
      </c>
      <c r="D61" s="7" t="s">
        <v>14</v>
      </c>
      <c r="E61" s="7"/>
      <c r="F61" s="42"/>
      <c r="G61" s="20">
        <v>-201000</v>
      </c>
      <c r="H61" s="22">
        <v>208000</v>
      </c>
      <c r="I61" s="22">
        <v>0</v>
      </c>
      <c r="J61" s="22">
        <v>0</v>
      </c>
      <c r="K61" s="22">
        <v>0</v>
      </c>
      <c r="L61" s="23">
        <v>-7000</v>
      </c>
    </row>
    <row r="62" spans="1:12" x14ac:dyDescent="0.25">
      <c r="A62" s="17" t="s">
        <v>46</v>
      </c>
      <c r="B62" s="3" t="s">
        <v>10</v>
      </c>
      <c r="C62" s="3" t="s">
        <v>11</v>
      </c>
      <c r="D62" s="3" t="s">
        <v>14</v>
      </c>
      <c r="E62" s="3"/>
      <c r="F62" s="46"/>
      <c r="G62" s="20">
        <v>-34691.800000000003</v>
      </c>
      <c r="H62" s="18">
        <v>34691.800000000003</v>
      </c>
      <c r="I62" s="18">
        <v>0</v>
      </c>
      <c r="J62" s="18">
        <v>0</v>
      </c>
      <c r="K62" s="18">
        <v>0</v>
      </c>
      <c r="L62" s="19">
        <f>H62+G62</f>
        <v>0</v>
      </c>
    </row>
    <row r="63" spans="1:12" x14ac:dyDescent="0.25">
      <c r="A63" s="21" t="s">
        <v>104</v>
      </c>
      <c r="B63" s="7" t="s">
        <v>10</v>
      </c>
      <c r="C63" s="7" t="s">
        <v>11</v>
      </c>
      <c r="D63" s="7" t="s">
        <v>14</v>
      </c>
      <c r="E63" s="7"/>
      <c r="F63" s="42"/>
      <c r="G63" s="20">
        <v>23000</v>
      </c>
      <c r="H63" s="22">
        <v>0</v>
      </c>
      <c r="I63" s="22">
        <v>0</v>
      </c>
      <c r="J63" s="22">
        <v>0</v>
      </c>
      <c r="K63" s="22">
        <f t="shared" ref="K63" si="20">L63+G63</f>
        <v>23000</v>
      </c>
      <c r="L63" s="23">
        <f t="shared" ref="L63" si="21">J63+I63+H63</f>
        <v>0</v>
      </c>
    </row>
    <row r="64" spans="1:12" x14ac:dyDescent="0.25">
      <c r="A64" s="21" t="s">
        <v>105</v>
      </c>
      <c r="B64" s="7" t="s">
        <v>10</v>
      </c>
      <c r="C64" s="7" t="s">
        <v>11</v>
      </c>
      <c r="D64" s="7" t="s">
        <v>14</v>
      </c>
      <c r="E64" s="7"/>
      <c r="F64" s="42"/>
      <c r="G64" s="20">
        <v>6800</v>
      </c>
      <c r="H64" s="22">
        <v>0</v>
      </c>
      <c r="I64" s="22">
        <v>0</v>
      </c>
      <c r="J64" s="22">
        <v>0</v>
      </c>
      <c r="K64" s="22">
        <f t="shared" ref="K64:K65" si="22">L64+G64</f>
        <v>6800</v>
      </c>
      <c r="L64" s="23">
        <f t="shared" ref="L64:L65" si="23">J64+I64+H64</f>
        <v>0</v>
      </c>
    </row>
    <row r="65" spans="1:12" x14ac:dyDescent="0.25">
      <c r="A65" s="21" t="s">
        <v>106</v>
      </c>
      <c r="B65" s="7" t="s">
        <v>10</v>
      </c>
      <c r="C65" s="7" t="s">
        <v>11</v>
      </c>
      <c r="D65" s="7" t="s">
        <v>14</v>
      </c>
      <c r="E65" s="7"/>
      <c r="F65" s="42"/>
      <c r="G65" s="20">
        <v>1200</v>
      </c>
      <c r="H65" s="22">
        <v>0</v>
      </c>
      <c r="I65" s="22">
        <v>0</v>
      </c>
      <c r="J65" s="22">
        <v>0</v>
      </c>
      <c r="K65" s="22">
        <f t="shared" si="22"/>
        <v>1200</v>
      </c>
      <c r="L65" s="23">
        <f t="shared" si="23"/>
        <v>0</v>
      </c>
    </row>
    <row r="66" spans="1:12" x14ac:dyDescent="0.25">
      <c r="A66" s="21" t="s">
        <v>107</v>
      </c>
      <c r="B66" s="7" t="s">
        <v>10</v>
      </c>
      <c r="C66" s="7" t="s">
        <v>11</v>
      </c>
      <c r="D66" s="7" t="s">
        <v>14</v>
      </c>
      <c r="E66" s="7"/>
      <c r="F66" s="42"/>
      <c r="G66" s="20">
        <v>34000</v>
      </c>
      <c r="H66" s="22">
        <v>0</v>
      </c>
      <c r="I66" s="22">
        <v>0</v>
      </c>
      <c r="J66" s="22">
        <v>0</v>
      </c>
      <c r="K66" s="22">
        <f t="shared" ref="K66:K68" si="24">L66+G66</f>
        <v>34000</v>
      </c>
      <c r="L66" s="23">
        <f t="shared" ref="L66:L69" si="25">J66+I66+H66</f>
        <v>0</v>
      </c>
    </row>
    <row r="67" spans="1:12" x14ac:dyDescent="0.25">
      <c r="A67" s="21" t="s">
        <v>108</v>
      </c>
      <c r="B67" s="7" t="s">
        <v>10</v>
      </c>
      <c r="C67" s="7" t="s">
        <v>11</v>
      </c>
      <c r="D67" s="7" t="s">
        <v>14</v>
      </c>
      <c r="E67" s="7"/>
      <c r="F67" s="42"/>
      <c r="G67" s="20">
        <v>-7500</v>
      </c>
      <c r="H67" s="22">
        <v>0</v>
      </c>
      <c r="I67" s="22">
        <v>0</v>
      </c>
      <c r="J67" s="22">
        <v>0</v>
      </c>
      <c r="K67" s="22">
        <f t="shared" si="24"/>
        <v>-7500</v>
      </c>
      <c r="L67" s="23">
        <f t="shared" si="25"/>
        <v>0</v>
      </c>
    </row>
    <row r="68" spans="1:12" x14ac:dyDescent="0.25">
      <c r="A68" s="21" t="s">
        <v>109</v>
      </c>
      <c r="B68" s="7" t="s">
        <v>10</v>
      </c>
      <c r="C68" s="7" t="s">
        <v>11</v>
      </c>
      <c r="D68" s="7" t="s">
        <v>14</v>
      </c>
      <c r="E68" s="7"/>
      <c r="F68" s="42"/>
      <c r="G68" s="20">
        <v>38000</v>
      </c>
      <c r="H68" s="22">
        <v>0</v>
      </c>
      <c r="I68" s="22">
        <v>0</v>
      </c>
      <c r="J68" s="22">
        <v>0</v>
      </c>
      <c r="K68" s="22">
        <f t="shared" si="24"/>
        <v>38000</v>
      </c>
      <c r="L68" s="23">
        <f t="shared" si="25"/>
        <v>0</v>
      </c>
    </row>
    <row r="69" spans="1:12" x14ac:dyDescent="0.25">
      <c r="A69" s="21" t="s">
        <v>110</v>
      </c>
      <c r="B69" s="7" t="s">
        <v>10</v>
      </c>
      <c r="C69" s="7" t="s">
        <v>11</v>
      </c>
      <c r="D69" s="7" t="s">
        <v>14</v>
      </c>
      <c r="E69" s="7"/>
      <c r="F69" s="42"/>
      <c r="G69" s="20">
        <v>8000</v>
      </c>
      <c r="H69" s="22">
        <v>0</v>
      </c>
      <c r="I69" s="22">
        <v>0</v>
      </c>
      <c r="J69" s="22">
        <v>0</v>
      </c>
      <c r="K69" s="22">
        <f>L69+G69</f>
        <v>8000</v>
      </c>
      <c r="L69" s="23">
        <f t="shared" si="25"/>
        <v>0</v>
      </c>
    </row>
    <row r="70" spans="1:12" x14ac:dyDescent="0.25">
      <c r="A70" s="21" t="s">
        <v>45</v>
      </c>
      <c r="B70" s="7" t="s">
        <v>10</v>
      </c>
      <c r="C70" s="7" t="s">
        <v>11</v>
      </c>
      <c r="D70" s="7" t="s">
        <v>14</v>
      </c>
      <c r="E70" s="7"/>
      <c r="F70" s="42"/>
      <c r="G70" s="22">
        <f>SUM(G63:G69)</f>
        <v>103500</v>
      </c>
      <c r="H70" s="22">
        <f>SUM(H63:H69)</f>
        <v>0</v>
      </c>
      <c r="I70" s="22">
        <v>0</v>
      </c>
      <c r="J70" s="22">
        <v>0</v>
      </c>
      <c r="K70" s="22">
        <f t="shared" ref="K70" si="26">L70+G70</f>
        <v>0</v>
      </c>
      <c r="L70" s="23">
        <v>-103500</v>
      </c>
    </row>
    <row r="71" spans="1:12" x14ac:dyDescent="0.25">
      <c r="A71" s="21" t="s">
        <v>111</v>
      </c>
      <c r="B71" s="7" t="s">
        <v>33</v>
      </c>
      <c r="C71" s="7" t="s">
        <v>11</v>
      </c>
      <c r="D71" s="7" t="s">
        <v>14</v>
      </c>
      <c r="E71" s="7"/>
      <c r="F71" s="42"/>
      <c r="G71" s="20">
        <v>5713.32</v>
      </c>
      <c r="H71" s="22">
        <v>0</v>
      </c>
      <c r="I71" s="22">
        <v>0</v>
      </c>
      <c r="J71" s="22">
        <v>0</v>
      </c>
      <c r="K71" s="22">
        <v>0</v>
      </c>
      <c r="L71" s="23">
        <v>0</v>
      </c>
    </row>
    <row r="72" spans="1:12" x14ac:dyDescent="0.25">
      <c r="A72" s="21" t="s">
        <v>112</v>
      </c>
      <c r="B72" s="7" t="s">
        <v>33</v>
      </c>
      <c r="C72" s="7" t="s">
        <v>11</v>
      </c>
      <c r="D72" s="7" t="s">
        <v>14</v>
      </c>
      <c r="E72" s="7"/>
      <c r="F72" s="42"/>
      <c r="G72" s="20">
        <v>20140.400000000001</v>
      </c>
      <c r="H72" s="22">
        <v>0</v>
      </c>
      <c r="I72" s="22">
        <v>0</v>
      </c>
      <c r="J72" s="22">
        <v>0</v>
      </c>
      <c r="K72" s="22">
        <v>0</v>
      </c>
      <c r="L72" s="23">
        <v>0</v>
      </c>
    </row>
    <row r="73" spans="1:12" x14ac:dyDescent="0.25">
      <c r="A73" s="21" t="s">
        <v>48</v>
      </c>
      <c r="B73" s="7" t="s">
        <v>33</v>
      </c>
      <c r="C73" s="7" t="s">
        <v>11</v>
      </c>
      <c r="D73" s="7" t="s">
        <v>14</v>
      </c>
      <c r="E73" s="7"/>
      <c r="F73" s="42"/>
      <c r="G73" s="22">
        <v>25854</v>
      </c>
      <c r="H73" s="22">
        <v>0</v>
      </c>
      <c r="I73" s="22">
        <v>0</v>
      </c>
      <c r="J73" s="22">
        <v>0</v>
      </c>
      <c r="K73" s="22">
        <v>0</v>
      </c>
      <c r="L73" s="23">
        <v>-25854</v>
      </c>
    </row>
    <row r="74" spans="1:12" x14ac:dyDescent="0.25">
      <c r="A74" s="25" t="s">
        <v>17</v>
      </c>
      <c r="B74" t="s">
        <v>10</v>
      </c>
      <c r="C74" t="s">
        <v>11</v>
      </c>
      <c r="D74" t="s">
        <v>130</v>
      </c>
      <c r="F74" s="43"/>
      <c r="G74" s="26">
        <v>29334</v>
      </c>
      <c r="H74" s="26">
        <v>-29334</v>
      </c>
      <c r="I74" s="26">
        <v>0</v>
      </c>
      <c r="J74" s="26">
        <v>0</v>
      </c>
      <c r="K74" s="26">
        <v>0</v>
      </c>
      <c r="L74" s="27">
        <f>H74+G74</f>
        <v>0</v>
      </c>
    </row>
    <row r="75" spans="1:12" x14ac:dyDescent="0.25">
      <c r="A75" s="30" t="s">
        <v>30</v>
      </c>
      <c r="B75" s="8" t="s">
        <v>10</v>
      </c>
      <c r="C75" s="8" t="s">
        <v>13</v>
      </c>
      <c r="D75" s="8" t="s">
        <v>14</v>
      </c>
      <c r="E75" s="8"/>
      <c r="F75" s="45"/>
      <c r="G75" s="20">
        <v>0</v>
      </c>
      <c r="H75" s="31">
        <v>0</v>
      </c>
      <c r="I75" s="31">
        <v>0</v>
      </c>
      <c r="J75" s="31">
        <v>0</v>
      </c>
      <c r="K75" s="31">
        <v>0</v>
      </c>
      <c r="L75" s="32">
        <v>0</v>
      </c>
    </row>
    <row r="76" spans="1:12" x14ac:dyDescent="0.25">
      <c r="A76" s="17" t="s">
        <v>55</v>
      </c>
      <c r="B76" s="3" t="s">
        <v>10</v>
      </c>
      <c r="C76" s="3" t="s">
        <v>13</v>
      </c>
      <c r="D76" s="3" t="s">
        <v>54</v>
      </c>
      <c r="E76" s="3"/>
      <c r="F76" s="46"/>
      <c r="G76" s="20">
        <v>24050</v>
      </c>
      <c r="H76" s="18">
        <v>-24050</v>
      </c>
      <c r="I76" s="18">
        <v>0</v>
      </c>
      <c r="J76" s="18">
        <v>0</v>
      </c>
      <c r="K76" s="18">
        <v>0</v>
      </c>
      <c r="L76" s="19">
        <f>H76+G76</f>
        <v>0</v>
      </c>
    </row>
    <row r="77" spans="1:12" x14ac:dyDescent="0.25">
      <c r="A77" s="25" t="s">
        <v>50</v>
      </c>
      <c r="B77" t="s">
        <v>10</v>
      </c>
      <c r="C77" t="s">
        <v>13</v>
      </c>
      <c r="D77" t="s">
        <v>12</v>
      </c>
      <c r="F77" s="43"/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7">
        <f t="shared" ref="L77" si="27">J77+I77+H77</f>
        <v>0</v>
      </c>
    </row>
    <row r="78" spans="1:12" x14ac:dyDescent="0.25">
      <c r="A78" s="17" t="s">
        <v>52</v>
      </c>
      <c r="B78" s="3" t="s">
        <v>10</v>
      </c>
      <c r="C78" s="3" t="s">
        <v>13</v>
      </c>
      <c r="D78" s="3" t="s">
        <v>131</v>
      </c>
      <c r="E78" s="3"/>
      <c r="F78" s="46"/>
      <c r="G78" s="24">
        <v>1650</v>
      </c>
      <c r="H78" s="18">
        <v>850</v>
      </c>
      <c r="I78" s="18">
        <v>253.13</v>
      </c>
      <c r="J78" s="18">
        <v>31.25</v>
      </c>
      <c r="K78" s="18">
        <f t="shared" ref="K78" si="28">L78+G78</f>
        <v>2784.38</v>
      </c>
      <c r="L78" s="19">
        <f t="shared" ref="L78" si="29">J78+I78+H78</f>
        <v>1134.3800000000001</v>
      </c>
    </row>
    <row r="79" spans="1:12" x14ac:dyDescent="0.25">
      <c r="A79" s="28" t="s">
        <v>49</v>
      </c>
      <c r="B79" s="4" t="s">
        <v>10</v>
      </c>
      <c r="C79" s="4" t="s">
        <v>11</v>
      </c>
      <c r="D79" s="4" t="s">
        <v>14</v>
      </c>
      <c r="E79" s="4"/>
      <c r="F79" s="44"/>
      <c r="G79" s="20">
        <v>-3623.33</v>
      </c>
      <c r="H79" s="14">
        <v>0</v>
      </c>
      <c r="I79" s="14">
        <v>0</v>
      </c>
      <c r="J79" s="14">
        <v>0</v>
      </c>
      <c r="K79" s="14">
        <f>H79+G79</f>
        <v>-3623.33</v>
      </c>
      <c r="L79" s="29">
        <f>H79+G79</f>
        <v>-3623.33</v>
      </c>
    </row>
    <row r="80" spans="1:12" x14ac:dyDescent="0.25">
      <c r="A80" s="21" t="s">
        <v>53</v>
      </c>
      <c r="B80" s="7" t="s">
        <v>10</v>
      </c>
      <c r="C80" s="7" t="s">
        <v>11</v>
      </c>
      <c r="D80" s="7" t="s">
        <v>54</v>
      </c>
      <c r="E80" s="7"/>
      <c r="F80" s="42"/>
      <c r="G80" s="20">
        <v>5720</v>
      </c>
      <c r="H80" s="22">
        <v>0</v>
      </c>
      <c r="I80" s="22">
        <v>0</v>
      </c>
      <c r="J80" s="22">
        <v>0</v>
      </c>
      <c r="K80" s="22">
        <f t="shared" ref="K80" si="30">L80+G80</f>
        <v>0</v>
      </c>
      <c r="L80" s="23">
        <v>-5720</v>
      </c>
    </row>
    <row r="81" spans="1:12" x14ac:dyDescent="0.25">
      <c r="A81" s="21" t="s">
        <v>56</v>
      </c>
      <c r="B81" s="7" t="s">
        <v>10</v>
      </c>
      <c r="C81" s="7" t="s">
        <v>11</v>
      </c>
      <c r="D81" s="7" t="s">
        <v>51</v>
      </c>
      <c r="E81" s="7"/>
      <c r="F81" s="42"/>
      <c r="G81" s="20">
        <v>16500</v>
      </c>
      <c r="H81" s="22">
        <v>0</v>
      </c>
      <c r="I81" s="22">
        <v>0</v>
      </c>
      <c r="J81" s="22">
        <v>0</v>
      </c>
      <c r="K81" s="22">
        <f t="shared" ref="K81:K82" si="31">L81+G81</f>
        <v>0</v>
      </c>
      <c r="L81" s="23">
        <v>-16500</v>
      </c>
    </row>
    <row r="82" spans="1:12" x14ac:dyDescent="0.25">
      <c r="A82" s="13" t="s">
        <v>57</v>
      </c>
      <c r="B82" s="2" t="s">
        <v>10</v>
      </c>
      <c r="C82" s="2" t="s">
        <v>13</v>
      </c>
      <c r="D82" s="2" t="s">
        <v>14</v>
      </c>
      <c r="E82" s="2"/>
      <c r="F82" s="41"/>
      <c r="G82" s="20">
        <v>29334</v>
      </c>
      <c r="H82" s="15">
        <v>0</v>
      </c>
      <c r="I82" s="15">
        <v>2970.02</v>
      </c>
      <c r="J82" s="15">
        <v>366.67</v>
      </c>
      <c r="K82" s="15">
        <f t="shared" si="31"/>
        <v>32670.69</v>
      </c>
      <c r="L82" s="16">
        <f t="shared" ref="L82" si="32">J82+I82+H82</f>
        <v>3336.69</v>
      </c>
    </row>
    <row r="83" spans="1:12" x14ac:dyDescent="0.25">
      <c r="A83" s="17" t="s">
        <v>58</v>
      </c>
      <c r="B83" s="3" t="s">
        <v>10</v>
      </c>
      <c r="C83" s="3" t="s">
        <v>13</v>
      </c>
      <c r="D83" s="3" t="s">
        <v>51</v>
      </c>
      <c r="E83" s="3"/>
      <c r="F83" s="46"/>
      <c r="G83" s="18">
        <v>225</v>
      </c>
      <c r="H83" s="18">
        <v>22.78</v>
      </c>
      <c r="I83" s="18">
        <v>2.81</v>
      </c>
      <c r="J83" s="18">
        <v>0</v>
      </c>
      <c r="K83" s="18">
        <f t="shared" ref="K83" si="33">L83+G83</f>
        <v>250.59</v>
      </c>
      <c r="L83" s="19">
        <f t="shared" ref="L83" si="34">J83+I83+H83</f>
        <v>25.59</v>
      </c>
    </row>
    <row r="84" spans="1:12" x14ac:dyDescent="0.25">
      <c r="A84" s="13" t="s">
        <v>113</v>
      </c>
      <c r="B84" s="2" t="s">
        <v>10</v>
      </c>
      <c r="C84" s="2" t="s">
        <v>13</v>
      </c>
      <c r="D84" s="2" t="s">
        <v>14</v>
      </c>
      <c r="E84" s="2"/>
      <c r="F84" s="41"/>
      <c r="G84" s="20">
        <v>10000</v>
      </c>
      <c r="H84" s="15">
        <v>-1125</v>
      </c>
      <c r="I84" s="15">
        <v>0</v>
      </c>
      <c r="J84" s="15">
        <v>0</v>
      </c>
      <c r="K84" s="15">
        <v>0</v>
      </c>
      <c r="L84" s="16">
        <v>0</v>
      </c>
    </row>
    <row r="85" spans="1:12" x14ac:dyDescent="0.25">
      <c r="A85" s="13" t="s">
        <v>114</v>
      </c>
      <c r="B85" s="2" t="s">
        <v>10</v>
      </c>
      <c r="C85" s="2" t="s">
        <v>13</v>
      </c>
      <c r="D85" s="2" t="s">
        <v>14</v>
      </c>
      <c r="E85" s="2"/>
      <c r="F85" s="41"/>
      <c r="G85" s="20">
        <v>50150</v>
      </c>
      <c r="H85" s="15">
        <v>-1337.5</v>
      </c>
      <c r="I85" s="15">
        <v>0</v>
      </c>
      <c r="J85" s="15">
        <v>0</v>
      </c>
      <c r="K85" s="15">
        <v>0</v>
      </c>
      <c r="L85" s="16">
        <v>0</v>
      </c>
    </row>
    <row r="86" spans="1:12" x14ac:dyDescent="0.25">
      <c r="A86" s="13" t="s">
        <v>115</v>
      </c>
      <c r="B86" s="2" t="s">
        <v>10</v>
      </c>
      <c r="C86" s="2" t="s">
        <v>13</v>
      </c>
      <c r="D86" s="2" t="s">
        <v>14</v>
      </c>
      <c r="E86" s="2"/>
      <c r="F86" s="41"/>
      <c r="G86" s="20">
        <v>10002</v>
      </c>
      <c r="H86" s="15">
        <v>648</v>
      </c>
      <c r="I86" s="15">
        <v>0</v>
      </c>
      <c r="J86" s="15">
        <v>0</v>
      </c>
      <c r="K86" s="15">
        <v>0</v>
      </c>
      <c r="L86" s="16">
        <v>0</v>
      </c>
    </row>
    <row r="87" spans="1:12" x14ac:dyDescent="0.25">
      <c r="A87" s="13" t="s">
        <v>116</v>
      </c>
      <c r="B87" s="2" t="s">
        <v>10</v>
      </c>
      <c r="C87" s="2" t="s">
        <v>13</v>
      </c>
      <c r="D87" s="2" t="s">
        <v>14</v>
      </c>
      <c r="E87" s="2"/>
      <c r="F87" s="41"/>
      <c r="G87" s="20">
        <v>3300</v>
      </c>
      <c r="H87" s="15">
        <v>1772.5</v>
      </c>
      <c r="I87" s="15">
        <v>0</v>
      </c>
      <c r="J87" s="15">
        <v>0</v>
      </c>
      <c r="K87" s="15">
        <v>0</v>
      </c>
      <c r="L87" s="16">
        <v>0</v>
      </c>
    </row>
    <row r="88" spans="1:12" x14ac:dyDescent="0.25">
      <c r="A88" s="13" t="s">
        <v>117</v>
      </c>
      <c r="B88" s="2" t="s">
        <v>10</v>
      </c>
      <c r="C88" s="2" t="s">
        <v>13</v>
      </c>
      <c r="D88" s="2" t="s">
        <v>14</v>
      </c>
      <c r="E88" s="2"/>
      <c r="F88" s="41"/>
      <c r="G88" s="20">
        <v>0</v>
      </c>
      <c r="H88" s="15">
        <v>7455</v>
      </c>
      <c r="I88" s="15">
        <v>0</v>
      </c>
      <c r="J88" s="15">
        <v>0</v>
      </c>
      <c r="K88" s="15">
        <v>0</v>
      </c>
      <c r="L88" s="16">
        <v>0</v>
      </c>
    </row>
    <row r="89" spans="1:12" x14ac:dyDescent="0.25">
      <c r="A89" s="13" t="s">
        <v>118</v>
      </c>
      <c r="B89" s="2" t="s">
        <v>10</v>
      </c>
      <c r="C89" s="2" t="s">
        <v>13</v>
      </c>
      <c r="D89" s="2" t="s">
        <v>14</v>
      </c>
      <c r="E89" s="2"/>
      <c r="F89" s="41"/>
      <c r="G89" s="20">
        <v>0</v>
      </c>
      <c r="H89" s="15">
        <v>887.5</v>
      </c>
      <c r="I89" s="15">
        <v>0</v>
      </c>
      <c r="J89" s="15">
        <v>0</v>
      </c>
      <c r="K89" s="15">
        <v>0</v>
      </c>
      <c r="L89" s="16">
        <v>0</v>
      </c>
    </row>
    <row r="90" spans="1:12" x14ac:dyDescent="0.25">
      <c r="A90" s="13" t="s">
        <v>119</v>
      </c>
      <c r="B90" s="2" t="s">
        <v>10</v>
      </c>
      <c r="C90" s="2" t="s">
        <v>13</v>
      </c>
      <c r="D90" s="2" t="s">
        <v>132</v>
      </c>
      <c r="E90" s="2"/>
      <c r="F90" s="41"/>
      <c r="G90" s="20">
        <v>41690</v>
      </c>
      <c r="H90" s="15">
        <v>-252.62</v>
      </c>
      <c r="I90" s="15">
        <v>0</v>
      </c>
      <c r="J90" s="15">
        <v>0</v>
      </c>
      <c r="K90" s="15">
        <v>0</v>
      </c>
      <c r="L90" s="16">
        <v>0</v>
      </c>
    </row>
    <row r="91" spans="1:12" x14ac:dyDescent="0.25">
      <c r="A91" s="13" t="s">
        <v>120</v>
      </c>
      <c r="B91" s="2" t="s">
        <v>10</v>
      </c>
      <c r="C91" s="2" t="s">
        <v>13</v>
      </c>
      <c r="D91" s="2" t="s">
        <v>14</v>
      </c>
      <c r="E91" s="2"/>
      <c r="F91" s="41"/>
      <c r="G91" s="20">
        <v>0</v>
      </c>
      <c r="H91" s="15">
        <v>1775</v>
      </c>
      <c r="I91" s="15">
        <v>0</v>
      </c>
      <c r="J91" s="15">
        <v>0</v>
      </c>
      <c r="K91" s="15">
        <v>0</v>
      </c>
      <c r="L91" s="16">
        <v>0</v>
      </c>
    </row>
    <row r="92" spans="1:12" x14ac:dyDescent="0.25">
      <c r="A92" s="13" t="s">
        <v>121</v>
      </c>
      <c r="B92" s="2" t="s">
        <v>10</v>
      </c>
      <c r="C92" s="2" t="s">
        <v>13</v>
      </c>
      <c r="D92" s="2" t="s">
        <v>14</v>
      </c>
      <c r="E92" s="2"/>
      <c r="F92" s="41"/>
      <c r="G92" s="20">
        <v>2100</v>
      </c>
      <c r="H92" s="15">
        <v>118.75</v>
      </c>
      <c r="I92" s="15">
        <v>0</v>
      </c>
      <c r="J92" s="15">
        <v>0</v>
      </c>
      <c r="K92" s="15">
        <v>0</v>
      </c>
      <c r="L92" s="16">
        <v>0</v>
      </c>
    </row>
    <row r="93" spans="1:12" x14ac:dyDescent="0.25">
      <c r="A93" s="13" t="s">
        <v>122</v>
      </c>
      <c r="B93" s="2" t="s">
        <v>10</v>
      </c>
      <c r="C93" s="2" t="s">
        <v>13</v>
      </c>
      <c r="D93" s="2" t="s">
        <v>14</v>
      </c>
      <c r="E93" s="2"/>
      <c r="F93" s="41"/>
      <c r="G93" s="20">
        <v>83756</v>
      </c>
      <c r="H93" s="15">
        <v>387</v>
      </c>
      <c r="I93" s="15">
        <v>0</v>
      </c>
      <c r="J93" s="15">
        <v>0</v>
      </c>
      <c r="K93" s="15">
        <v>0</v>
      </c>
      <c r="L93" s="16">
        <v>0</v>
      </c>
    </row>
    <row r="94" spans="1:12" x14ac:dyDescent="0.25">
      <c r="A94" s="13" t="s">
        <v>59</v>
      </c>
      <c r="B94" s="2" t="s">
        <v>10</v>
      </c>
      <c r="C94" s="2" t="s">
        <v>13</v>
      </c>
      <c r="D94" s="2" t="s">
        <v>14</v>
      </c>
      <c r="E94" s="2"/>
      <c r="F94" s="41"/>
      <c r="G94" s="15">
        <f>SUM(G84:G93)</f>
        <v>200998</v>
      </c>
      <c r="H94" s="15">
        <f>SUM(H84:H93)</f>
        <v>10328.630000000001</v>
      </c>
      <c r="I94" s="15">
        <v>21396.83</v>
      </c>
      <c r="J94" s="15">
        <v>2641.6</v>
      </c>
      <c r="K94" s="15">
        <f t="shared" ref="K94" si="35">L94+G94</f>
        <v>235365.06</v>
      </c>
      <c r="L94" s="16">
        <f t="shared" ref="L94" si="36">J94+I94+H94</f>
        <v>34367.06</v>
      </c>
    </row>
    <row r="95" spans="1:12" x14ac:dyDescent="0.25">
      <c r="A95" s="13" t="s">
        <v>123</v>
      </c>
      <c r="B95" s="2" t="s">
        <v>10</v>
      </c>
      <c r="C95" s="2" t="s">
        <v>13</v>
      </c>
      <c r="D95" s="2" t="s">
        <v>14</v>
      </c>
      <c r="E95" s="2"/>
      <c r="F95" s="41"/>
      <c r="G95" s="20">
        <v>103354</v>
      </c>
      <c r="H95" s="15">
        <v>908.5</v>
      </c>
      <c r="I95" s="15">
        <v>0</v>
      </c>
      <c r="J95" s="15">
        <v>0</v>
      </c>
      <c r="K95" s="15">
        <v>0</v>
      </c>
      <c r="L95" s="16">
        <v>0</v>
      </c>
    </row>
    <row r="96" spans="1:12" x14ac:dyDescent="0.25">
      <c r="A96" s="13" t="s">
        <v>124</v>
      </c>
      <c r="B96" s="2" t="s">
        <v>10</v>
      </c>
      <c r="C96" s="2" t="s">
        <v>13</v>
      </c>
      <c r="D96" s="2" t="s">
        <v>14</v>
      </c>
      <c r="E96" s="2"/>
      <c r="F96" s="41"/>
      <c r="G96" s="20">
        <v>16814.87</v>
      </c>
      <c r="H96" s="15">
        <v>-59.12</v>
      </c>
      <c r="I96" s="15">
        <v>0</v>
      </c>
      <c r="J96" s="15">
        <v>0</v>
      </c>
      <c r="K96" s="15">
        <v>0</v>
      </c>
      <c r="L96" s="16">
        <v>0</v>
      </c>
    </row>
    <row r="97" spans="1:12" x14ac:dyDescent="0.25">
      <c r="A97" s="13" t="s">
        <v>125</v>
      </c>
      <c r="B97" s="2" t="s">
        <v>10</v>
      </c>
      <c r="C97" s="2" t="s">
        <v>13</v>
      </c>
      <c r="D97" s="2" t="s">
        <v>14</v>
      </c>
      <c r="E97" s="2"/>
      <c r="F97" s="41"/>
      <c r="G97" s="20">
        <v>57000</v>
      </c>
      <c r="H97" s="15">
        <v>6234.38</v>
      </c>
      <c r="I97" s="15">
        <v>0</v>
      </c>
      <c r="J97" s="15">
        <v>0</v>
      </c>
      <c r="K97" s="15">
        <v>0</v>
      </c>
      <c r="L97" s="16">
        <v>0</v>
      </c>
    </row>
    <row r="98" spans="1:12" x14ac:dyDescent="0.25">
      <c r="A98" s="13" t="s">
        <v>126</v>
      </c>
      <c r="B98" s="2" t="s">
        <v>10</v>
      </c>
      <c r="C98" s="2" t="s">
        <v>13</v>
      </c>
      <c r="D98" s="2" t="s">
        <v>14</v>
      </c>
      <c r="E98" s="2"/>
      <c r="F98" s="41"/>
      <c r="G98" s="20">
        <v>21000</v>
      </c>
      <c r="H98" s="15">
        <v>2075</v>
      </c>
      <c r="I98" s="15">
        <v>0</v>
      </c>
      <c r="J98" s="15">
        <v>0</v>
      </c>
      <c r="K98" s="15">
        <v>0</v>
      </c>
      <c r="L98" s="16">
        <v>0</v>
      </c>
    </row>
    <row r="99" spans="1:12" x14ac:dyDescent="0.25">
      <c r="A99" s="13" t="s">
        <v>60</v>
      </c>
      <c r="B99" s="2" t="s">
        <v>10</v>
      </c>
      <c r="C99" s="2" t="s">
        <v>13</v>
      </c>
      <c r="D99" s="2" t="s">
        <v>14</v>
      </c>
      <c r="E99" s="2"/>
      <c r="F99" s="41"/>
      <c r="G99" s="15">
        <f>SUM(G95:G98)</f>
        <v>198168.87</v>
      </c>
      <c r="H99" s="15">
        <f>SUM(H95:H98)</f>
        <v>9158.76</v>
      </c>
      <c r="I99" s="15">
        <v>20991.919999999998</v>
      </c>
      <c r="J99" s="15">
        <v>2591.6</v>
      </c>
      <c r="K99" s="15">
        <f t="shared" ref="K99" si="37">L99+G99</f>
        <v>230911.15</v>
      </c>
      <c r="L99" s="16">
        <f t="shared" ref="L99" si="38">J99+I99+H99</f>
        <v>32742.28</v>
      </c>
    </row>
    <row r="100" spans="1:12" x14ac:dyDescent="0.25">
      <c r="A100" s="21" t="s">
        <v>61</v>
      </c>
      <c r="B100" s="7" t="s">
        <v>10</v>
      </c>
      <c r="C100" s="7" t="s">
        <v>11</v>
      </c>
      <c r="D100" s="7" t="s">
        <v>54</v>
      </c>
      <c r="E100" s="7"/>
      <c r="F100" s="42"/>
      <c r="G100" s="33">
        <v>17610</v>
      </c>
      <c r="H100" s="22">
        <v>0</v>
      </c>
      <c r="I100" s="22">
        <v>0</v>
      </c>
      <c r="J100" s="22">
        <v>0</v>
      </c>
      <c r="K100" s="22">
        <v>0</v>
      </c>
      <c r="L100" s="23">
        <v>-17610</v>
      </c>
    </row>
    <row r="101" spans="1:12" x14ac:dyDescent="0.25">
      <c r="A101" s="34" t="s">
        <v>62</v>
      </c>
      <c r="B101" s="35" t="s">
        <v>10</v>
      </c>
      <c r="C101" s="35" t="s">
        <v>11</v>
      </c>
      <c r="D101" s="35" t="s">
        <v>54</v>
      </c>
      <c r="E101" s="35"/>
      <c r="F101" s="47"/>
      <c r="G101" s="36">
        <v>5193</v>
      </c>
      <c r="H101" s="37">
        <v>0</v>
      </c>
      <c r="I101" s="37">
        <v>0</v>
      </c>
      <c r="J101" s="37">
        <v>0</v>
      </c>
      <c r="K101" s="37">
        <v>0</v>
      </c>
      <c r="L101" s="38">
        <v>-5193</v>
      </c>
    </row>
    <row r="102" spans="1:12" ht="16.5" thickBot="1" x14ac:dyDescent="0.3">
      <c r="A102" s="7"/>
      <c r="B102" s="7"/>
      <c r="C102" s="7"/>
      <c r="D102" s="7"/>
      <c r="E102" s="7"/>
      <c r="F102" s="48"/>
      <c r="G102" s="24"/>
      <c r="H102" s="22"/>
      <c r="I102" s="22"/>
      <c r="J102" s="22"/>
      <c r="K102" s="22"/>
      <c r="L102" s="22"/>
    </row>
    <row r="103" spans="1:12" x14ac:dyDescent="0.25">
      <c r="A103" t="s">
        <v>63</v>
      </c>
      <c r="B103" t="s">
        <v>63</v>
      </c>
      <c r="C103" t="s">
        <v>63</v>
      </c>
      <c r="D103" t="s">
        <v>63</v>
      </c>
      <c r="G103" s="9"/>
      <c r="H103" s="9">
        <f>SUM(H5:H101)</f>
        <v>186529.94000000003</v>
      </c>
      <c r="I103" s="9">
        <f>SUM(I5:I101)</f>
        <v>129897.18000000001</v>
      </c>
      <c r="J103" s="9">
        <f>SUM(J5:J101)</f>
        <v>16036.38</v>
      </c>
      <c r="K103" s="9">
        <f>SUM(K5:K101)</f>
        <v>1524100.1600000001</v>
      </c>
      <c r="L103" s="9">
        <f>SUM(L5:L101)</f>
        <v>-89311.520000000019</v>
      </c>
    </row>
  </sheetData>
  <mergeCells count="3">
    <mergeCell ref="D1:G1"/>
    <mergeCell ref="D2:G2"/>
    <mergeCell ref="D3:G3"/>
  </mergeCells>
  <phoneticPr fontId="3" type="noConversion"/>
  <dataValidations count="1">
    <dataValidation type="list" allowBlank="1" showInputMessage="1" showErrorMessage="1" sqref="F5:F102 G5:G102" xr:uid="{09C4FFD8-5422-4C1E-9BBB-3D1DEA7E7A9F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Andrew Cannon</cp:lastModifiedBy>
  <dcterms:created xsi:type="dcterms:W3CDTF">2016-06-05T09:05:11Z</dcterms:created>
  <dcterms:modified xsi:type="dcterms:W3CDTF">2025-10-28T19:47:51Z</dcterms:modified>
  <cp:category/>
</cp:coreProperties>
</file>