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leato-my.sharepoint.com/personal/bclymer_alleatogroup_com/Documents/Alleato Group/2024 Jobs/24-115 Westfield Collective (Westfield, IN)/24-09.05 - Westfield Collective (Westfield, IN)/04 - Estimate/"/>
    </mc:Choice>
  </mc:AlternateContent>
  <xr:revisionPtr revIDLastSave="763" documentId="14_{1EC92FDE-658B-4EBC-AF93-B3C40A7D3A6E}" xr6:coauthVersionLast="47" xr6:coauthVersionMax="47" xr10:uidLastSave="{B679DC74-893A-4122-837B-B7EFDE39943B}"/>
  <bookViews>
    <workbookView xWindow="-28920" yWindow="-120" windowWidth="29040" windowHeight="15720" tabRatio="700" activeTab="4" xr2:uid="{00000000-000D-0000-FFFF-FFFF00000000}"/>
  </bookViews>
  <sheets>
    <sheet name="Estimate" sheetId="6" r:id="rId1"/>
    <sheet name="General Conditions" sheetId="7" r:id="rId2"/>
    <sheet name="QuantityTakeoff" sheetId="8" r:id="rId3"/>
    <sheet name="Importer Data Fields" sheetId="9" r:id="rId4"/>
    <sheet name="SubList" sheetId="10" r:id="rId5"/>
  </sheets>
  <definedNames>
    <definedName name="_xlnm.Print_Area" localSheetId="0">Estimate!$A$1:$D$142</definedName>
    <definedName name="_xlnm.Print_Titles" localSheetId="0">Estimate!$1:$9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0" l="1"/>
  <c r="G149" i="10"/>
  <c r="E149" i="10"/>
  <c r="G172" i="10"/>
  <c r="G137" i="10"/>
  <c r="G107" i="10"/>
  <c r="G95" i="10"/>
  <c r="G14" i="10"/>
  <c r="B80" i="6"/>
  <c r="E68" i="7"/>
  <c r="E65" i="7"/>
  <c r="E64" i="7"/>
  <c r="E63" i="7"/>
  <c r="E62" i="7"/>
  <c r="E57" i="7"/>
  <c r="E56" i="7"/>
  <c r="E55" i="7"/>
  <c r="E42" i="7"/>
  <c r="C42" i="7"/>
  <c r="E41" i="7"/>
  <c r="E39" i="7"/>
  <c r="E38" i="7"/>
  <c r="E37" i="7"/>
  <c r="E36" i="7"/>
  <c r="E35" i="7"/>
  <c r="C35" i="7"/>
  <c r="E33" i="7"/>
  <c r="C33" i="7"/>
  <c r="E32" i="7"/>
  <c r="E31" i="7"/>
  <c r="E30" i="7"/>
  <c r="E22" i="7"/>
  <c r="E21" i="7"/>
  <c r="E20" i="7"/>
  <c r="E19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278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61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45" i="8"/>
  <c r="C239" i="8"/>
  <c r="C240" i="8"/>
  <c r="C241" i="8"/>
  <c r="C242" i="8"/>
  <c r="C243" i="8"/>
  <c r="C238" i="8"/>
  <c r="C232" i="8"/>
  <c r="C233" i="8"/>
  <c r="C234" i="8"/>
  <c r="C235" i="8"/>
  <c r="C236" i="8"/>
  <c r="C231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06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191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72" i="8"/>
  <c r="C168" i="8"/>
  <c r="C169" i="8"/>
  <c r="C170" i="8"/>
  <c r="C167" i="8"/>
  <c r="C158" i="8"/>
  <c r="C159" i="8"/>
  <c r="C160" i="8"/>
  <c r="C161" i="8"/>
  <c r="C162" i="8"/>
  <c r="C163" i="8"/>
  <c r="C164" i="8"/>
  <c r="C165" i="8"/>
  <c r="C157" i="8"/>
  <c r="C149" i="8"/>
  <c r="C150" i="8"/>
  <c r="C151" i="8"/>
  <c r="C152" i="8"/>
  <c r="C153" i="8"/>
  <c r="C154" i="8"/>
  <c r="C155" i="8"/>
  <c r="C148" i="8"/>
  <c r="C139" i="8"/>
  <c r="C140" i="8"/>
  <c r="C141" i="8"/>
  <c r="C142" i="8"/>
  <c r="C143" i="8"/>
  <c r="C144" i="8"/>
  <c r="C145" i="8"/>
  <c r="C146" i="8"/>
  <c r="C138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14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99" i="8"/>
  <c r="C89" i="8"/>
  <c r="C90" i="8"/>
  <c r="C91" i="8"/>
  <c r="C92" i="8"/>
  <c r="C93" i="8"/>
  <c r="C94" i="8"/>
  <c r="C95" i="8"/>
  <c r="C96" i="8"/>
  <c r="C97" i="8"/>
  <c r="C88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72" i="8"/>
  <c r="C62" i="8"/>
  <c r="C63" i="8"/>
  <c r="C64" i="8"/>
  <c r="C65" i="8"/>
  <c r="C66" i="8"/>
  <c r="C67" i="8"/>
  <c r="C68" i="8"/>
  <c r="C69" i="8"/>
  <c r="C70" i="8"/>
  <c r="C61" i="8"/>
  <c r="C55" i="8"/>
  <c r="C56" i="8"/>
  <c r="C57" i="8"/>
  <c r="C58" i="8"/>
  <c r="C59" i="8"/>
  <c r="C54" i="8"/>
  <c r="C43" i="8"/>
  <c r="C44" i="8"/>
  <c r="C45" i="8"/>
  <c r="C46" i="8"/>
  <c r="C47" i="8"/>
  <c r="C48" i="8"/>
  <c r="C49" i="8"/>
  <c r="C50" i="8"/>
  <c r="C51" i="8"/>
  <c r="C52" i="8"/>
  <c r="C42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26" i="8"/>
  <c r="C21" i="8"/>
  <c r="C22" i="8"/>
  <c r="C23" i="8"/>
  <c r="C24" i="8"/>
  <c r="C20" i="8"/>
  <c r="C4" i="7"/>
  <c r="C26" i="7"/>
  <c r="C27" i="7"/>
  <c r="C28" i="7"/>
  <c r="C29" i="7"/>
  <c r="C30" i="7"/>
  <c r="C31" i="7"/>
  <c r="C32" i="7"/>
  <c r="C34" i="7"/>
  <c r="C36" i="7"/>
  <c r="C37" i="7"/>
  <c r="C38" i="7"/>
  <c r="C39" i="7"/>
  <c r="C40" i="7"/>
  <c r="C41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V113" i="8"/>
  <c r="N113" i="8"/>
  <c r="P113" i="8"/>
  <c r="K113" i="8"/>
  <c r="V114" i="8"/>
  <c r="W114" i="8"/>
  <c r="N114" i="8"/>
  <c r="P114" i="8"/>
  <c r="K114" i="8"/>
  <c r="V115" i="8"/>
  <c r="W115" i="8"/>
  <c r="N115" i="8"/>
  <c r="P115" i="8"/>
  <c r="K115" i="8"/>
  <c r="V116" i="8"/>
  <c r="W116" i="8"/>
  <c r="N116" i="8"/>
  <c r="P116" i="8"/>
  <c r="K116" i="8"/>
  <c r="V117" i="8"/>
  <c r="N117" i="8"/>
  <c r="P117" i="8"/>
  <c r="K117" i="8"/>
  <c r="V118" i="8"/>
  <c r="N118" i="8"/>
  <c r="P118" i="8"/>
  <c r="K118" i="8"/>
  <c r="V119" i="8"/>
  <c r="N119" i="8"/>
  <c r="P119" i="8"/>
  <c r="K119" i="8"/>
  <c r="V120" i="8"/>
  <c r="N120" i="8"/>
  <c r="P120" i="8"/>
  <c r="K120" i="8"/>
  <c r="V121" i="8"/>
  <c r="W121" i="8"/>
  <c r="N121" i="8"/>
  <c r="P121" i="8"/>
  <c r="K121" i="8"/>
  <c r="V122" i="8"/>
  <c r="W122" i="8"/>
  <c r="N122" i="8"/>
  <c r="P122" i="8"/>
  <c r="K122" i="8"/>
  <c r="V123" i="8"/>
  <c r="W123" i="8"/>
  <c r="N123" i="8"/>
  <c r="P123" i="8"/>
  <c r="K123" i="8"/>
  <c r="V124" i="8"/>
  <c r="W124" i="8"/>
  <c r="N124" i="8"/>
  <c r="P124" i="8"/>
  <c r="K124" i="8"/>
  <c r="V125" i="8"/>
  <c r="N125" i="8"/>
  <c r="P125" i="8"/>
  <c r="K125" i="8"/>
  <c r="V126" i="8"/>
  <c r="N126" i="8"/>
  <c r="P126" i="8"/>
  <c r="K126" i="8"/>
  <c r="V127" i="8"/>
  <c r="N127" i="8"/>
  <c r="P127" i="8"/>
  <c r="K127" i="8"/>
  <c r="V128" i="8"/>
  <c r="N128" i="8"/>
  <c r="P128" i="8"/>
  <c r="K128" i="8"/>
  <c r="V129" i="8"/>
  <c r="N129" i="8"/>
  <c r="P129" i="8"/>
  <c r="K129" i="8"/>
  <c r="V130" i="8"/>
  <c r="N130" i="8"/>
  <c r="P130" i="8"/>
  <c r="K130" i="8"/>
  <c r="V131" i="8"/>
  <c r="N131" i="8"/>
  <c r="P131" i="8"/>
  <c r="K131" i="8"/>
  <c r="V132" i="8"/>
  <c r="N132" i="8"/>
  <c r="P132" i="8"/>
  <c r="K132" i="8"/>
  <c r="V133" i="8"/>
  <c r="N133" i="8"/>
  <c r="P133" i="8"/>
  <c r="K133" i="8"/>
  <c r="V134" i="8"/>
  <c r="N134" i="8"/>
  <c r="P134" i="8"/>
  <c r="K134" i="8"/>
  <c r="V135" i="8"/>
  <c r="N135" i="8"/>
  <c r="P135" i="8"/>
  <c r="K135" i="8"/>
  <c r="V136" i="8"/>
  <c r="W136" i="8"/>
  <c r="N136" i="8"/>
  <c r="P136" i="8"/>
  <c r="K136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8" i="8"/>
  <c r="K9" i="8"/>
  <c r="K10" i="8"/>
  <c r="K11" i="8"/>
  <c r="K12" i="8"/>
  <c r="T29" i="8"/>
  <c r="T30" i="8"/>
  <c r="T31" i="8"/>
  <c r="T32" i="8"/>
  <c r="AB114" i="8"/>
  <c r="AC117" i="8"/>
  <c r="AC121" i="8"/>
  <c r="AD121" i="8"/>
  <c r="AC118" i="8"/>
  <c r="N102" i="8"/>
  <c r="P102" i="8"/>
  <c r="T102" i="8"/>
  <c r="V102" i="8"/>
  <c r="W102" i="8"/>
  <c r="V171" i="8"/>
  <c r="T171" i="8"/>
  <c r="N171" i="8"/>
  <c r="P171" i="8"/>
  <c r="V172" i="8"/>
  <c r="T172" i="8"/>
  <c r="W172" i="8"/>
  <c r="N172" i="8"/>
  <c r="P172" i="8"/>
  <c r="V173" i="8"/>
  <c r="T173" i="8"/>
  <c r="N173" i="8"/>
  <c r="P173" i="8"/>
  <c r="W173" i="8"/>
  <c r="V174" i="8"/>
  <c r="W174" i="8"/>
  <c r="T174" i="8"/>
  <c r="N174" i="8"/>
  <c r="P174" i="8"/>
  <c r="V175" i="8"/>
  <c r="T175" i="8"/>
  <c r="N175" i="8"/>
  <c r="P175" i="8"/>
  <c r="V176" i="8"/>
  <c r="W176" i="8"/>
  <c r="T176" i="8"/>
  <c r="N176" i="8"/>
  <c r="P176" i="8"/>
  <c r="V177" i="8"/>
  <c r="W177" i="8"/>
  <c r="T177" i="8"/>
  <c r="N177" i="8"/>
  <c r="P177" i="8"/>
  <c r="V178" i="8"/>
  <c r="T178" i="8"/>
  <c r="W178" i="8"/>
  <c r="N178" i="8"/>
  <c r="P178" i="8"/>
  <c r="V179" i="8"/>
  <c r="T179" i="8"/>
  <c r="W179" i="8"/>
  <c r="N179" i="8"/>
  <c r="P179" i="8"/>
  <c r="V180" i="8"/>
  <c r="T180" i="8"/>
  <c r="W180" i="8"/>
  <c r="N180" i="8"/>
  <c r="P180" i="8"/>
  <c r="V181" i="8"/>
  <c r="T181" i="8"/>
  <c r="N181" i="8"/>
  <c r="P181" i="8"/>
  <c r="W181" i="8"/>
  <c r="V182" i="8"/>
  <c r="W182" i="8"/>
  <c r="T182" i="8"/>
  <c r="N182" i="8"/>
  <c r="P182" i="8"/>
  <c r="V183" i="8"/>
  <c r="T183" i="8"/>
  <c r="N183" i="8"/>
  <c r="P183" i="8"/>
  <c r="V184" i="8"/>
  <c r="W184" i="8"/>
  <c r="T184" i="8"/>
  <c r="N184" i="8"/>
  <c r="P184" i="8"/>
  <c r="V185" i="8"/>
  <c r="W185" i="8"/>
  <c r="T185" i="8"/>
  <c r="N185" i="8"/>
  <c r="P185" i="8"/>
  <c r="V186" i="8"/>
  <c r="T186" i="8"/>
  <c r="W186" i="8"/>
  <c r="N186" i="8"/>
  <c r="P186" i="8"/>
  <c r="V187" i="8"/>
  <c r="T187" i="8"/>
  <c r="N187" i="8"/>
  <c r="P187" i="8"/>
  <c r="V188" i="8"/>
  <c r="T188" i="8"/>
  <c r="W188" i="8"/>
  <c r="N188" i="8"/>
  <c r="P188" i="8"/>
  <c r="V189" i="8"/>
  <c r="T189" i="8"/>
  <c r="N189" i="8"/>
  <c r="P189" i="8"/>
  <c r="W189" i="8"/>
  <c r="V74" i="8"/>
  <c r="N74" i="8"/>
  <c r="P74" i="8"/>
  <c r="T74" i="8"/>
  <c r="V73" i="8"/>
  <c r="W73" i="8"/>
  <c r="N73" i="8"/>
  <c r="P73" i="8"/>
  <c r="T73" i="8"/>
  <c r="V72" i="8"/>
  <c r="N72" i="8"/>
  <c r="P72" i="8"/>
  <c r="T72" i="8"/>
  <c r="V50" i="8"/>
  <c r="T50" i="8"/>
  <c r="W50" i="8"/>
  <c r="N50" i="8"/>
  <c r="P50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V52" i="8"/>
  <c r="W52" i="8"/>
  <c r="T52" i="8"/>
  <c r="N52" i="8"/>
  <c r="P52" i="8"/>
  <c r="V277" i="8"/>
  <c r="T277" i="8"/>
  <c r="W277" i="8"/>
  <c r="N277" i="8"/>
  <c r="P277" i="8"/>
  <c r="V278" i="8"/>
  <c r="T278" i="8"/>
  <c r="N278" i="8"/>
  <c r="P278" i="8"/>
  <c r="W278" i="8"/>
  <c r="V279" i="8"/>
  <c r="T279" i="8"/>
  <c r="N279" i="8"/>
  <c r="P279" i="8"/>
  <c r="W279" i="8"/>
  <c r="V280" i="8"/>
  <c r="T280" i="8"/>
  <c r="N280" i="8"/>
  <c r="P280" i="8"/>
  <c r="V281" i="8"/>
  <c r="W281" i="8"/>
  <c r="T281" i="8"/>
  <c r="N281" i="8"/>
  <c r="P281" i="8"/>
  <c r="V282" i="8"/>
  <c r="W282" i="8"/>
  <c r="T282" i="8"/>
  <c r="N282" i="8"/>
  <c r="P282" i="8"/>
  <c r="V283" i="8"/>
  <c r="W283" i="8"/>
  <c r="T283" i="8"/>
  <c r="N283" i="8"/>
  <c r="P283" i="8"/>
  <c r="V284" i="8"/>
  <c r="T284" i="8"/>
  <c r="N284" i="8"/>
  <c r="P284" i="8"/>
  <c r="W284" i="8"/>
  <c r="V285" i="8"/>
  <c r="T285" i="8"/>
  <c r="N285" i="8"/>
  <c r="P285" i="8"/>
  <c r="V286" i="8"/>
  <c r="T286" i="8"/>
  <c r="N286" i="8"/>
  <c r="P286" i="8"/>
  <c r="W286" i="8"/>
  <c r="V287" i="8"/>
  <c r="T287" i="8"/>
  <c r="N287" i="8"/>
  <c r="P287" i="8"/>
  <c r="W287" i="8"/>
  <c r="V288" i="8"/>
  <c r="W288" i="8"/>
  <c r="T288" i="8"/>
  <c r="N288" i="8"/>
  <c r="P288" i="8"/>
  <c r="V289" i="8"/>
  <c r="W289" i="8"/>
  <c r="T289" i="8"/>
  <c r="N289" i="8"/>
  <c r="P289" i="8"/>
  <c r="V290" i="8"/>
  <c r="W290" i="8"/>
  <c r="T290" i="8"/>
  <c r="N290" i="8"/>
  <c r="P290" i="8"/>
  <c r="V291" i="8"/>
  <c r="W291" i="8"/>
  <c r="T291" i="8"/>
  <c r="N291" i="8"/>
  <c r="P291" i="8"/>
  <c r="V292" i="8"/>
  <c r="T292" i="8"/>
  <c r="N292" i="8"/>
  <c r="P292" i="8"/>
  <c r="W292" i="8"/>
  <c r="V293" i="8"/>
  <c r="T293" i="8"/>
  <c r="W293" i="8"/>
  <c r="N293" i="8"/>
  <c r="P293" i="8"/>
  <c r="V294" i="8"/>
  <c r="T294" i="8"/>
  <c r="N294" i="8"/>
  <c r="P294" i="8"/>
  <c r="W294" i="8"/>
  <c r="V295" i="8"/>
  <c r="T295" i="8"/>
  <c r="N295" i="8"/>
  <c r="P295" i="8"/>
  <c r="W295" i="8"/>
  <c r="V296" i="8"/>
  <c r="T296" i="8"/>
  <c r="N296" i="8"/>
  <c r="P296" i="8"/>
  <c r="V297" i="8"/>
  <c r="W297" i="8"/>
  <c r="T297" i="8"/>
  <c r="N297" i="8"/>
  <c r="P297" i="8"/>
  <c r="V298" i="8"/>
  <c r="W298" i="8"/>
  <c r="T298" i="8"/>
  <c r="N298" i="8"/>
  <c r="P298" i="8"/>
  <c r="V299" i="8"/>
  <c r="W299" i="8"/>
  <c r="T299" i="8"/>
  <c r="N299" i="8"/>
  <c r="P299" i="8"/>
  <c r="V300" i="8"/>
  <c r="T300" i="8"/>
  <c r="N300" i="8"/>
  <c r="P300" i="8"/>
  <c r="W300" i="8"/>
  <c r="V301" i="8"/>
  <c r="T301" i="8"/>
  <c r="N301" i="8"/>
  <c r="P301" i="8"/>
  <c r="V302" i="8"/>
  <c r="T302" i="8"/>
  <c r="N302" i="8"/>
  <c r="P302" i="8"/>
  <c r="W302" i="8"/>
  <c r="V303" i="8"/>
  <c r="T303" i="8"/>
  <c r="N303" i="8"/>
  <c r="P303" i="8"/>
  <c r="W303" i="8"/>
  <c r="K303" i="8"/>
  <c r="V304" i="8"/>
  <c r="T304" i="8"/>
  <c r="N304" i="8"/>
  <c r="P304" i="8"/>
  <c r="K304" i="8"/>
  <c r="V305" i="8"/>
  <c r="W305" i="8"/>
  <c r="T305" i="8"/>
  <c r="N305" i="8"/>
  <c r="P305" i="8"/>
  <c r="K305" i="8"/>
  <c r="V306" i="8"/>
  <c r="T306" i="8"/>
  <c r="N306" i="8"/>
  <c r="P306" i="8"/>
  <c r="K306" i="8"/>
  <c r="W306" i="8"/>
  <c r="V307" i="8"/>
  <c r="T307" i="8"/>
  <c r="N307" i="8"/>
  <c r="P307" i="8"/>
  <c r="W307" i="8"/>
  <c r="K307" i="8"/>
  <c r="V308" i="8"/>
  <c r="T308" i="8"/>
  <c r="N308" i="8"/>
  <c r="P308" i="8"/>
  <c r="K308" i="8"/>
  <c r="V309" i="8"/>
  <c r="W309" i="8"/>
  <c r="T309" i="8"/>
  <c r="N309" i="8"/>
  <c r="P309" i="8"/>
  <c r="K309" i="8"/>
  <c r="V310" i="8"/>
  <c r="T310" i="8"/>
  <c r="N310" i="8"/>
  <c r="P310" i="8"/>
  <c r="K310" i="8"/>
  <c r="W310" i="8"/>
  <c r="AC122" i="8"/>
  <c r="AC116" i="8"/>
  <c r="AD116" i="8"/>
  <c r="N97" i="8"/>
  <c r="P97" i="8"/>
  <c r="T97" i="8"/>
  <c r="W97" i="8"/>
  <c r="V97" i="8"/>
  <c r="N95" i="8"/>
  <c r="P95" i="8"/>
  <c r="W95" i="8"/>
  <c r="T95" i="8"/>
  <c r="V95" i="8"/>
  <c r="N93" i="8"/>
  <c r="P93" i="8"/>
  <c r="W93" i="8"/>
  <c r="T93" i="8"/>
  <c r="V93" i="8"/>
  <c r="N94" i="8"/>
  <c r="P94" i="8"/>
  <c r="W94" i="8"/>
  <c r="T94" i="8"/>
  <c r="V94" i="8"/>
  <c r="N82" i="8"/>
  <c r="P82" i="8"/>
  <c r="W82" i="8"/>
  <c r="T82" i="8"/>
  <c r="V82" i="8"/>
  <c r="N83" i="8"/>
  <c r="P83" i="8"/>
  <c r="W83" i="8"/>
  <c r="T83" i="8"/>
  <c r="V83" i="8"/>
  <c r="N84" i="8"/>
  <c r="P84" i="8"/>
  <c r="W84" i="8"/>
  <c r="T84" i="8"/>
  <c r="V84" i="8"/>
  <c r="N85" i="8"/>
  <c r="P85" i="8"/>
  <c r="W85" i="8"/>
  <c r="V85" i="8"/>
  <c r="T85" i="8"/>
  <c r="N86" i="8"/>
  <c r="P86" i="8"/>
  <c r="T86" i="8"/>
  <c r="V86" i="8"/>
  <c r="W86" i="8"/>
  <c r="V81" i="8"/>
  <c r="T81" i="8"/>
  <c r="N81" i="8"/>
  <c r="P81" i="8"/>
  <c r="W81" i="8"/>
  <c r="V80" i="8"/>
  <c r="W80" i="8"/>
  <c r="T80" i="8"/>
  <c r="N80" i="8"/>
  <c r="P80" i="8"/>
  <c r="V75" i="8"/>
  <c r="W75" i="8"/>
  <c r="T75" i="8"/>
  <c r="N75" i="8"/>
  <c r="P75" i="8"/>
  <c r="V71" i="8"/>
  <c r="T71" i="8"/>
  <c r="W71" i="8"/>
  <c r="N71" i="8"/>
  <c r="P71" i="8"/>
  <c r="V276" i="8"/>
  <c r="W276" i="8"/>
  <c r="T276" i="8"/>
  <c r="N276" i="8"/>
  <c r="P276" i="8"/>
  <c r="V275" i="8"/>
  <c r="T275" i="8"/>
  <c r="W275" i="8"/>
  <c r="N275" i="8"/>
  <c r="P275" i="8"/>
  <c r="V274" i="8"/>
  <c r="T274" i="8"/>
  <c r="N274" i="8"/>
  <c r="P274" i="8"/>
  <c r="V273" i="8"/>
  <c r="T273" i="8"/>
  <c r="W273" i="8"/>
  <c r="N273" i="8"/>
  <c r="P273" i="8"/>
  <c r="V272" i="8"/>
  <c r="T272" i="8"/>
  <c r="N272" i="8"/>
  <c r="P272" i="8"/>
  <c r="V271" i="8"/>
  <c r="T271" i="8"/>
  <c r="N271" i="8"/>
  <c r="P271" i="8"/>
  <c r="V270" i="8"/>
  <c r="W270" i="8"/>
  <c r="T270" i="8"/>
  <c r="N270" i="8"/>
  <c r="P270" i="8"/>
  <c r="V269" i="8"/>
  <c r="T269" i="8"/>
  <c r="N269" i="8"/>
  <c r="P269" i="8"/>
  <c r="V268" i="8"/>
  <c r="T268" i="8"/>
  <c r="N268" i="8"/>
  <c r="P268" i="8"/>
  <c r="V267" i="8"/>
  <c r="T267" i="8"/>
  <c r="W267" i="8"/>
  <c r="N267" i="8"/>
  <c r="P267" i="8"/>
  <c r="V266" i="8"/>
  <c r="T266" i="8"/>
  <c r="N266" i="8"/>
  <c r="P266" i="8"/>
  <c r="V265" i="8"/>
  <c r="T265" i="8"/>
  <c r="N265" i="8"/>
  <c r="P265" i="8"/>
  <c r="W265" i="8"/>
  <c r="V264" i="8"/>
  <c r="W264" i="8"/>
  <c r="T264" i="8"/>
  <c r="N264" i="8"/>
  <c r="P264" i="8"/>
  <c r="V263" i="8"/>
  <c r="T263" i="8"/>
  <c r="W263" i="8"/>
  <c r="N263" i="8"/>
  <c r="P263" i="8"/>
  <c r="V262" i="8"/>
  <c r="T262" i="8"/>
  <c r="N262" i="8"/>
  <c r="P262" i="8"/>
  <c r="V261" i="8"/>
  <c r="T261" i="8"/>
  <c r="N261" i="8"/>
  <c r="P261" i="8"/>
  <c r="V260" i="8"/>
  <c r="T260" i="8"/>
  <c r="N260" i="8"/>
  <c r="P260" i="8"/>
  <c r="V259" i="8"/>
  <c r="T259" i="8"/>
  <c r="W259" i="8"/>
  <c r="N259" i="8"/>
  <c r="P259" i="8"/>
  <c r="V258" i="8"/>
  <c r="W258" i="8"/>
  <c r="T258" i="8"/>
  <c r="N258" i="8"/>
  <c r="P258" i="8"/>
  <c r="V257" i="8"/>
  <c r="T257" i="8"/>
  <c r="N257" i="8"/>
  <c r="P257" i="8"/>
  <c r="V256" i="8"/>
  <c r="T256" i="8"/>
  <c r="N256" i="8"/>
  <c r="P256" i="8"/>
  <c r="V255" i="8"/>
  <c r="T255" i="8"/>
  <c r="N255" i="8"/>
  <c r="P255" i="8"/>
  <c r="V254" i="8"/>
  <c r="T254" i="8"/>
  <c r="N254" i="8"/>
  <c r="P254" i="8"/>
  <c r="V253" i="8"/>
  <c r="T253" i="8"/>
  <c r="N253" i="8"/>
  <c r="P253" i="8"/>
  <c r="V252" i="8"/>
  <c r="T252" i="8"/>
  <c r="W252" i="8"/>
  <c r="N252" i="8"/>
  <c r="P252" i="8"/>
  <c r="V251" i="8"/>
  <c r="T251" i="8"/>
  <c r="N251" i="8"/>
  <c r="P251" i="8"/>
  <c r="V250" i="8"/>
  <c r="T250" i="8"/>
  <c r="N250" i="8"/>
  <c r="P250" i="8"/>
  <c r="V249" i="8"/>
  <c r="T249" i="8"/>
  <c r="N249" i="8"/>
  <c r="P249" i="8"/>
  <c r="V248" i="8"/>
  <c r="T248" i="8"/>
  <c r="N248" i="8"/>
  <c r="P248" i="8"/>
  <c r="V247" i="8"/>
  <c r="T247" i="8"/>
  <c r="N247" i="8"/>
  <c r="P247" i="8"/>
  <c r="V246" i="8"/>
  <c r="T246" i="8"/>
  <c r="N246" i="8"/>
  <c r="P246" i="8"/>
  <c r="W246" i="8"/>
  <c r="V245" i="8"/>
  <c r="T245" i="8"/>
  <c r="N245" i="8"/>
  <c r="P245" i="8"/>
  <c r="V244" i="8"/>
  <c r="T244" i="8"/>
  <c r="W244" i="8"/>
  <c r="N244" i="8"/>
  <c r="P244" i="8"/>
  <c r="T48" i="8"/>
  <c r="N48" i="8"/>
  <c r="P48" i="8"/>
  <c r="V47" i="8"/>
  <c r="T47" i="8"/>
  <c r="N47" i="8"/>
  <c r="P47" i="8"/>
  <c r="V46" i="8"/>
  <c r="T46" i="8"/>
  <c r="N46" i="8"/>
  <c r="P46" i="8"/>
  <c r="W46" i="8"/>
  <c r="V45" i="8"/>
  <c r="T45" i="8"/>
  <c r="N45" i="8"/>
  <c r="P45" i="8"/>
  <c r="W45" i="8"/>
  <c r="V44" i="8"/>
  <c r="T44" i="8"/>
  <c r="N44" i="8"/>
  <c r="P44" i="8"/>
  <c r="V43" i="8"/>
  <c r="T43" i="8"/>
  <c r="N43" i="8"/>
  <c r="P43" i="8"/>
  <c r="V42" i="8"/>
  <c r="T42" i="8"/>
  <c r="N42" i="8"/>
  <c r="P42" i="8"/>
  <c r="W42" i="8"/>
  <c r="V41" i="8"/>
  <c r="T41" i="8"/>
  <c r="N41" i="8"/>
  <c r="P41" i="8"/>
  <c r="W41" i="8"/>
  <c r="V17" i="8"/>
  <c r="T17" i="8"/>
  <c r="N17" i="8"/>
  <c r="P17" i="8"/>
  <c r="V16" i="8"/>
  <c r="T16" i="8"/>
  <c r="N16" i="8"/>
  <c r="P16" i="8"/>
  <c r="V15" i="8"/>
  <c r="T15" i="8"/>
  <c r="N15" i="8"/>
  <c r="P15" i="8"/>
  <c r="W15" i="8"/>
  <c r="V14" i="8"/>
  <c r="T14" i="8"/>
  <c r="N14" i="8"/>
  <c r="P14" i="8"/>
  <c r="V13" i="8"/>
  <c r="T13" i="8"/>
  <c r="N13" i="8"/>
  <c r="P13" i="8"/>
  <c r="W13" i="8"/>
  <c r="V12" i="8"/>
  <c r="T12" i="8"/>
  <c r="N12" i="8"/>
  <c r="P12" i="8"/>
  <c r="W12" i="8"/>
  <c r="V11" i="8"/>
  <c r="T11" i="8"/>
  <c r="N11" i="8"/>
  <c r="P11" i="8"/>
  <c r="V10" i="8"/>
  <c r="T10" i="8"/>
  <c r="N10" i="8"/>
  <c r="P10" i="8"/>
  <c r="V9" i="8"/>
  <c r="T9" i="8"/>
  <c r="N9" i="8"/>
  <c r="P9" i="8"/>
  <c r="V8" i="8"/>
  <c r="T8" i="8"/>
  <c r="N8" i="8"/>
  <c r="P8" i="8"/>
  <c r="W8" i="8"/>
  <c r="N19" i="8"/>
  <c r="P19" i="8"/>
  <c r="T19" i="8"/>
  <c r="W19" i="8"/>
  <c r="V19" i="8"/>
  <c r="N20" i="8"/>
  <c r="P20" i="8"/>
  <c r="T20" i="8"/>
  <c r="V20" i="8"/>
  <c r="W20" i="8"/>
  <c r="N21" i="8"/>
  <c r="P21" i="8"/>
  <c r="T21" i="8"/>
  <c r="V21" i="8"/>
  <c r="N22" i="8"/>
  <c r="P22" i="8"/>
  <c r="T22" i="8"/>
  <c r="V22" i="8"/>
  <c r="N23" i="8"/>
  <c r="P23" i="8"/>
  <c r="T23" i="8"/>
  <c r="V23" i="8"/>
  <c r="N24" i="8"/>
  <c r="P24" i="8"/>
  <c r="T24" i="8"/>
  <c r="V24" i="8"/>
  <c r="W24" i="8"/>
  <c r="N25" i="8"/>
  <c r="P25" i="8"/>
  <c r="T25" i="8"/>
  <c r="V25" i="8"/>
  <c r="N26" i="8"/>
  <c r="P26" i="8"/>
  <c r="T26" i="8"/>
  <c r="V26" i="8"/>
  <c r="N27" i="8"/>
  <c r="P27" i="8"/>
  <c r="T27" i="8"/>
  <c r="W27" i="8"/>
  <c r="V27" i="8"/>
  <c r="N28" i="8"/>
  <c r="P28" i="8"/>
  <c r="T28" i="8"/>
  <c r="V28" i="8"/>
  <c r="W28" i="8"/>
  <c r="N29" i="8"/>
  <c r="P29" i="8"/>
  <c r="V29" i="8"/>
  <c r="N30" i="8"/>
  <c r="P30" i="8"/>
  <c r="V30" i="8"/>
  <c r="N31" i="8"/>
  <c r="P31" i="8"/>
  <c r="W31" i="8"/>
  <c r="V31" i="8"/>
  <c r="N32" i="8"/>
  <c r="P32" i="8"/>
  <c r="W32" i="8"/>
  <c r="V32" i="8"/>
  <c r="N33" i="8"/>
  <c r="P33" i="8"/>
  <c r="T33" i="8"/>
  <c r="V33" i="8"/>
  <c r="W33" i="8"/>
  <c r="N34" i="8"/>
  <c r="P34" i="8"/>
  <c r="T34" i="8"/>
  <c r="V34" i="8"/>
  <c r="N35" i="8"/>
  <c r="P35" i="8"/>
  <c r="T35" i="8"/>
  <c r="V35" i="8"/>
  <c r="W35" i="8"/>
  <c r="N36" i="8"/>
  <c r="P36" i="8"/>
  <c r="T36" i="8"/>
  <c r="W36" i="8"/>
  <c r="V36" i="8"/>
  <c r="N37" i="8"/>
  <c r="P37" i="8"/>
  <c r="T37" i="8"/>
  <c r="V37" i="8"/>
  <c r="W37" i="8"/>
  <c r="N38" i="8"/>
  <c r="P38" i="8"/>
  <c r="T38" i="8"/>
  <c r="W38" i="8"/>
  <c r="V38" i="8"/>
  <c r="N39" i="8"/>
  <c r="P39" i="8"/>
  <c r="T39" i="8"/>
  <c r="V39" i="8"/>
  <c r="W39" i="8"/>
  <c r="N40" i="8"/>
  <c r="P40" i="8"/>
  <c r="T40" i="8"/>
  <c r="V40" i="8"/>
  <c r="N18" i="8"/>
  <c r="P18" i="8"/>
  <c r="T18" i="8"/>
  <c r="V18" i="8"/>
  <c r="W18" i="8"/>
  <c r="AD122" i="8"/>
  <c r="AD118" i="8"/>
  <c r="AC123" i="8"/>
  <c r="AD123" i="8"/>
  <c r="AD120" i="8"/>
  <c r="AC119" i="8"/>
  <c r="AD119" i="8"/>
  <c r="W22" i="8"/>
  <c r="W274" i="8"/>
  <c r="W256" i="8"/>
  <c r="W268" i="8"/>
  <c r="W260" i="8"/>
  <c r="W253" i="8"/>
  <c r="W272" i="8"/>
  <c r="W254" i="8"/>
  <c r="W262" i="8"/>
  <c r="W266" i="8"/>
  <c r="W30" i="8"/>
  <c r="W26" i="8"/>
  <c r="V48" i="8"/>
  <c r="W47" i="8"/>
  <c r="W9" i="8"/>
  <c r="AD117" i="8"/>
  <c r="B24" i="6"/>
  <c r="B68" i="6"/>
  <c r="B92" i="6"/>
  <c r="B107" i="6"/>
  <c r="B115" i="6"/>
  <c r="B119" i="6"/>
  <c r="T122" i="8"/>
  <c r="T121" i="8"/>
  <c r="A51" i="8"/>
  <c r="A52" i="8"/>
  <c r="A53" i="8"/>
  <c r="V205" i="8"/>
  <c r="T205" i="8"/>
  <c r="N205" i="8"/>
  <c r="P205" i="8"/>
  <c r="W205" i="8"/>
  <c r="K205" i="8"/>
  <c r="V212" i="8"/>
  <c r="N212" i="8"/>
  <c r="P212" i="8"/>
  <c r="W212" i="8"/>
  <c r="T212" i="8"/>
  <c r="V221" i="8"/>
  <c r="N221" i="8"/>
  <c r="P221" i="8"/>
  <c r="T221" i="8"/>
  <c r="V220" i="8"/>
  <c r="N220" i="8"/>
  <c r="P220" i="8"/>
  <c r="W220" i="8"/>
  <c r="T220" i="8"/>
  <c r="V210" i="8"/>
  <c r="N210" i="8"/>
  <c r="P210" i="8"/>
  <c r="W210" i="8"/>
  <c r="T210" i="8"/>
  <c r="V206" i="8"/>
  <c r="T206" i="8"/>
  <c r="N206" i="8"/>
  <c r="P206" i="8"/>
  <c r="W206" i="8"/>
  <c r="V207" i="8"/>
  <c r="T207" i="8"/>
  <c r="N207" i="8"/>
  <c r="P207" i="8"/>
  <c r="V208" i="8"/>
  <c r="T208" i="8"/>
  <c r="W208" i="8"/>
  <c r="N208" i="8"/>
  <c r="P208" i="8"/>
  <c r="V209" i="8"/>
  <c r="T209" i="8"/>
  <c r="N209" i="8"/>
  <c r="P209" i="8"/>
  <c r="V211" i="8"/>
  <c r="T211" i="8"/>
  <c r="N211" i="8"/>
  <c r="P211" i="8"/>
  <c r="V213" i="8"/>
  <c r="T213" i="8"/>
  <c r="N213" i="8"/>
  <c r="P213" i="8"/>
  <c r="V214" i="8"/>
  <c r="T214" i="8"/>
  <c r="N214" i="8"/>
  <c r="P214" i="8"/>
  <c r="V215" i="8"/>
  <c r="T215" i="8"/>
  <c r="N215" i="8"/>
  <c r="P215" i="8"/>
  <c r="W215" i="8"/>
  <c r="V216" i="8"/>
  <c r="T216" i="8"/>
  <c r="N216" i="8"/>
  <c r="P216" i="8"/>
  <c r="W216" i="8"/>
  <c r="V217" i="8"/>
  <c r="T217" i="8"/>
  <c r="N217" i="8"/>
  <c r="P217" i="8"/>
  <c r="V218" i="8"/>
  <c r="T218" i="8"/>
  <c r="N218" i="8"/>
  <c r="P218" i="8"/>
  <c r="V219" i="8"/>
  <c r="T219" i="8"/>
  <c r="N219" i="8"/>
  <c r="P219" i="8"/>
  <c r="W219" i="8"/>
  <c r="V222" i="8"/>
  <c r="T222" i="8"/>
  <c r="N222" i="8"/>
  <c r="P222" i="8"/>
  <c r="V223" i="8"/>
  <c r="T223" i="8"/>
  <c r="N223" i="8"/>
  <c r="P223" i="8"/>
  <c r="V224" i="8"/>
  <c r="W224" i="8"/>
  <c r="T224" i="8"/>
  <c r="N224" i="8"/>
  <c r="P224" i="8"/>
  <c r="V225" i="8"/>
  <c r="T225" i="8"/>
  <c r="N225" i="8"/>
  <c r="P225" i="8"/>
  <c r="V226" i="8"/>
  <c r="T226" i="8"/>
  <c r="N226" i="8"/>
  <c r="P226" i="8"/>
  <c r="V227" i="8"/>
  <c r="T227" i="8"/>
  <c r="N227" i="8"/>
  <c r="P227" i="8"/>
  <c r="V228" i="8"/>
  <c r="T228" i="8"/>
  <c r="N228" i="8"/>
  <c r="P228" i="8"/>
  <c r="W228" i="8"/>
  <c r="V229" i="8"/>
  <c r="T229" i="8"/>
  <c r="N229" i="8"/>
  <c r="P229" i="8"/>
  <c r="V190" i="8"/>
  <c r="N190" i="8"/>
  <c r="P190" i="8"/>
  <c r="T190" i="8"/>
  <c r="V191" i="8"/>
  <c r="N191" i="8"/>
  <c r="P191" i="8"/>
  <c r="T191" i="8"/>
  <c r="V192" i="8"/>
  <c r="T192" i="8"/>
  <c r="W192" i="8"/>
  <c r="N192" i="8"/>
  <c r="P192" i="8"/>
  <c r="V193" i="8"/>
  <c r="T193" i="8"/>
  <c r="W193" i="8"/>
  <c r="N193" i="8"/>
  <c r="P193" i="8"/>
  <c r="V194" i="8"/>
  <c r="T194" i="8"/>
  <c r="N194" i="8"/>
  <c r="P194" i="8"/>
  <c r="W194" i="8"/>
  <c r="V195" i="8"/>
  <c r="T195" i="8"/>
  <c r="N195" i="8"/>
  <c r="P195" i="8"/>
  <c r="V196" i="8"/>
  <c r="T196" i="8"/>
  <c r="N196" i="8"/>
  <c r="P196" i="8"/>
  <c r="V197" i="8"/>
  <c r="T197" i="8"/>
  <c r="N197" i="8"/>
  <c r="P197" i="8"/>
  <c r="V198" i="8"/>
  <c r="T198" i="8"/>
  <c r="N198" i="8"/>
  <c r="P198" i="8"/>
  <c r="V199" i="8"/>
  <c r="T199" i="8"/>
  <c r="W199" i="8"/>
  <c r="N199" i="8"/>
  <c r="P199" i="8"/>
  <c r="V200" i="8"/>
  <c r="T200" i="8"/>
  <c r="N200" i="8"/>
  <c r="P200" i="8"/>
  <c r="V201" i="8"/>
  <c r="T201" i="8"/>
  <c r="N201" i="8"/>
  <c r="P201" i="8"/>
  <c r="V202" i="8"/>
  <c r="T202" i="8"/>
  <c r="N202" i="8"/>
  <c r="P202" i="8"/>
  <c r="V203" i="8"/>
  <c r="T203" i="8"/>
  <c r="N203" i="8"/>
  <c r="P203" i="8"/>
  <c r="K203" i="8"/>
  <c r="V204" i="8"/>
  <c r="T204" i="8"/>
  <c r="N204" i="8"/>
  <c r="P204" i="8"/>
  <c r="K204" i="8"/>
  <c r="V168" i="8"/>
  <c r="N168" i="8"/>
  <c r="P168" i="8"/>
  <c r="T168" i="8"/>
  <c r="V169" i="8"/>
  <c r="N169" i="8"/>
  <c r="P169" i="8"/>
  <c r="T169" i="8"/>
  <c r="V166" i="8"/>
  <c r="T166" i="8"/>
  <c r="N166" i="8"/>
  <c r="P166" i="8"/>
  <c r="W166" i="8"/>
  <c r="Y166" i="8"/>
  <c r="B74" i="6"/>
  <c r="B76" i="6"/>
  <c r="V167" i="8"/>
  <c r="T167" i="8"/>
  <c r="N167" i="8"/>
  <c r="P167" i="8"/>
  <c r="W167" i="8"/>
  <c r="V170" i="8"/>
  <c r="T170" i="8"/>
  <c r="N170" i="8"/>
  <c r="P170" i="8"/>
  <c r="W170" i="8"/>
  <c r="V158" i="8"/>
  <c r="N158" i="8"/>
  <c r="P158" i="8"/>
  <c r="T158" i="8"/>
  <c r="V156" i="8"/>
  <c r="T156" i="8"/>
  <c r="N156" i="8"/>
  <c r="P156" i="8"/>
  <c r="W156" i="8"/>
  <c r="V157" i="8"/>
  <c r="T157" i="8"/>
  <c r="N157" i="8"/>
  <c r="P157" i="8"/>
  <c r="V159" i="8"/>
  <c r="T159" i="8"/>
  <c r="N159" i="8"/>
  <c r="P159" i="8"/>
  <c r="V160" i="8"/>
  <c r="T160" i="8"/>
  <c r="N160" i="8"/>
  <c r="P160" i="8"/>
  <c r="W160" i="8"/>
  <c r="V161" i="8"/>
  <c r="T161" i="8"/>
  <c r="N161" i="8"/>
  <c r="P161" i="8"/>
  <c r="V139" i="8"/>
  <c r="N139" i="8"/>
  <c r="P139" i="8"/>
  <c r="T139" i="8"/>
  <c r="V141" i="8"/>
  <c r="N141" i="8"/>
  <c r="P141" i="8"/>
  <c r="T141" i="8"/>
  <c r="V140" i="8"/>
  <c r="N140" i="8"/>
  <c r="P140" i="8"/>
  <c r="T140" i="8"/>
  <c r="V137" i="8"/>
  <c r="T137" i="8"/>
  <c r="N137" i="8"/>
  <c r="P137" i="8"/>
  <c r="W137" i="8"/>
  <c r="V138" i="8"/>
  <c r="T138" i="8"/>
  <c r="N138" i="8"/>
  <c r="P138" i="8"/>
  <c r="V142" i="8"/>
  <c r="T142" i="8"/>
  <c r="N142" i="8"/>
  <c r="P142" i="8"/>
  <c r="V143" i="8"/>
  <c r="T143" i="8"/>
  <c r="N143" i="8"/>
  <c r="P143" i="8"/>
  <c r="W143" i="8"/>
  <c r="T120" i="8"/>
  <c r="W120" i="8"/>
  <c r="T114" i="8"/>
  <c r="T117" i="8"/>
  <c r="T115" i="8"/>
  <c r="T116" i="8"/>
  <c r="T124" i="8"/>
  <c r="T123" i="8"/>
  <c r="T126" i="8"/>
  <c r="T119" i="8"/>
  <c r="W119" i="8"/>
  <c r="T127" i="8"/>
  <c r="W127" i="8"/>
  <c r="T113" i="8"/>
  <c r="T118" i="8"/>
  <c r="W118" i="8"/>
  <c r="T125" i="8"/>
  <c r="W125" i="8"/>
  <c r="V103" i="8"/>
  <c r="N103" i="8"/>
  <c r="P103" i="8"/>
  <c r="W103" i="8"/>
  <c r="T103" i="8"/>
  <c r="V99" i="8"/>
  <c r="W99" i="8"/>
  <c r="N99" i="8"/>
  <c r="P99" i="8"/>
  <c r="T99" i="8"/>
  <c r="V100" i="8"/>
  <c r="W100" i="8"/>
  <c r="N100" i="8"/>
  <c r="P100" i="8"/>
  <c r="T100" i="8"/>
  <c r="V101" i="8"/>
  <c r="N101" i="8"/>
  <c r="P101" i="8"/>
  <c r="T101" i="8"/>
  <c r="V105" i="8"/>
  <c r="W105" i="8"/>
  <c r="N105" i="8"/>
  <c r="P105" i="8"/>
  <c r="T105" i="8"/>
  <c r="V107" i="8"/>
  <c r="N107" i="8"/>
  <c r="P107" i="8"/>
  <c r="T107" i="8"/>
  <c r="W107" i="8"/>
  <c r="V98" i="8"/>
  <c r="W98" i="8"/>
  <c r="T98" i="8"/>
  <c r="N98" i="8"/>
  <c r="P98" i="8"/>
  <c r="V104" i="8"/>
  <c r="T104" i="8"/>
  <c r="N104" i="8"/>
  <c r="P104" i="8"/>
  <c r="V106" i="8"/>
  <c r="T106" i="8"/>
  <c r="N106" i="8"/>
  <c r="P106" i="8"/>
  <c r="W106" i="8"/>
  <c r="V108" i="8"/>
  <c r="W108" i="8"/>
  <c r="T108" i="8"/>
  <c r="N108" i="8"/>
  <c r="P108" i="8"/>
  <c r="V109" i="8"/>
  <c r="W109" i="8"/>
  <c r="T109" i="8"/>
  <c r="N109" i="8"/>
  <c r="P109" i="8"/>
  <c r="V110" i="8"/>
  <c r="T110" i="8"/>
  <c r="N110" i="8"/>
  <c r="P110" i="8"/>
  <c r="V111" i="8"/>
  <c r="W111" i="8"/>
  <c r="T111" i="8"/>
  <c r="N111" i="8"/>
  <c r="P111" i="8"/>
  <c r="V112" i="8"/>
  <c r="T112" i="8"/>
  <c r="N112" i="8"/>
  <c r="P112" i="8"/>
  <c r="W112" i="8"/>
  <c r="V49" i="8"/>
  <c r="N49" i="8"/>
  <c r="P49" i="8"/>
  <c r="T49" i="8"/>
  <c r="V51" i="8"/>
  <c r="W51" i="8"/>
  <c r="N51" i="8"/>
  <c r="P51" i="8"/>
  <c r="T51" i="8"/>
  <c r="W48" i="8"/>
  <c r="T134" i="8"/>
  <c r="W134" i="8"/>
  <c r="T133" i="8"/>
  <c r="T132" i="8"/>
  <c r="T131" i="8"/>
  <c r="W131" i="8"/>
  <c r="T130" i="8"/>
  <c r="W130" i="8"/>
  <c r="T129" i="8"/>
  <c r="T369" i="8"/>
  <c r="U369" i="8"/>
  <c r="T368" i="8"/>
  <c r="T367" i="8"/>
  <c r="T366" i="8"/>
  <c r="T365" i="8"/>
  <c r="T364" i="8"/>
  <c r="T363" i="8"/>
  <c r="T362" i="8"/>
  <c r="T361" i="8"/>
  <c r="T360" i="8"/>
  <c r="T359" i="8"/>
  <c r="T358" i="8"/>
  <c r="T357" i="8"/>
  <c r="T356" i="8"/>
  <c r="T354" i="8"/>
  <c r="T353" i="8"/>
  <c r="U353" i="8"/>
  <c r="T352" i="8"/>
  <c r="T351" i="8"/>
  <c r="P344" i="8"/>
  <c r="S344" i="8"/>
  <c r="T344" i="8"/>
  <c r="U344" i="8"/>
  <c r="V344" i="8"/>
  <c r="W344" i="8"/>
  <c r="K344" i="8"/>
  <c r="P343" i="8"/>
  <c r="S343" i="8"/>
  <c r="T343" i="8"/>
  <c r="W343" i="8"/>
  <c r="V342" i="8"/>
  <c r="P342" i="8"/>
  <c r="S342" i="8"/>
  <c r="T342" i="8"/>
  <c r="W342" i="8"/>
  <c r="K342" i="8"/>
  <c r="V341" i="8"/>
  <c r="P341" i="8"/>
  <c r="S341" i="8"/>
  <c r="T341" i="8"/>
  <c r="K341" i="8"/>
  <c r="V340" i="8"/>
  <c r="P340" i="8"/>
  <c r="S340" i="8"/>
  <c r="T340" i="8"/>
  <c r="W340" i="8"/>
  <c r="K340" i="8"/>
  <c r="V339" i="8"/>
  <c r="W339" i="8"/>
  <c r="P339" i="8"/>
  <c r="S339" i="8"/>
  <c r="T339" i="8"/>
  <c r="K339" i="8"/>
  <c r="V338" i="8"/>
  <c r="P338" i="8"/>
  <c r="S338" i="8"/>
  <c r="T338" i="8"/>
  <c r="W338" i="8"/>
  <c r="K338" i="8"/>
  <c r="V337" i="8"/>
  <c r="W337" i="8"/>
  <c r="P337" i="8"/>
  <c r="S337" i="8"/>
  <c r="T337" i="8"/>
  <c r="K337" i="8"/>
  <c r="V336" i="8"/>
  <c r="P336" i="8"/>
  <c r="S336" i="8"/>
  <c r="T336" i="8"/>
  <c r="K336" i="8"/>
  <c r="V335" i="8"/>
  <c r="W335" i="8"/>
  <c r="P335" i="8"/>
  <c r="S335" i="8"/>
  <c r="T335" i="8"/>
  <c r="K335" i="8"/>
  <c r="V334" i="8"/>
  <c r="P334" i="8"/>
  <c r="S334" i="8"/>
  <c r="T334" i="8"/>
  <c r="K334" i="8"/>
  <c r="V333" i="8"/>
  <c r="W333" i="8"/>
  <c r="P333" i="8"/>
  <c r="S333" i="8"/>
  <c r="T333" i="8"/>
  <c r="K333" i="8"/>
  <c r="V332" i="8"/>
  <c r="P332" i="8"/>
  <c r="S332" i="8"/>
  <c r="T332" i="8"/>
  <c r="W332" i="8"/>
  <c r="K332" i="8"/>
  <c r="V331" i="8"/>
  <c r="P331" i="8"/>
  <c r="S331" i="8"/>
  <c r="T331" i="8"/>
  <c r="K331" i="8"/>
  <c r="W331" i="8"/>
  <c r="P330" i="8"/>
  <c r="S330" i="8"/>
  <c r="T330" i="8"/>
  <c r="U330" i="8"/>
  <c r="V330" i="8"/>
  <c r="K330" i="8"/>
  <c r="P329" i="8"/>
  <c r="S329" i="8"/>
  <c r="T329" i="8"/>
  <c r="U329" i="8"/>
  <c r="V329" i="8"/>
  <c r="W329" i="8"/>
  <c r="K329" i="8"/>
  <c r="P328" i="8"/>
  <c r="S328" i="8"/>
  <c r="T328" i="8"/>
  <c r="U328" i="8"/>
  <c r="V328" i="8"/>
  <c r="W328" i="8"/>
  <c r="K328" i="8"/>
  <c r="V327" i="8"/>
  <c r="P327" i="8"/>
  <c r="S327" i="8"/>
  <c r="T327" i="8"/>
  <c r="W327" i="8"/>
  <c r="K327" i="8"/>
  <c r="W319" i="8"/>
  <c r="A313" i="8"/>
  <c r="A314" i="8"/>
  <c r="A315" i="8"/>
  <c r="A316" i="8"/>
  <c r="A317" i="8"/>
  <c r="A318" i="8"/>
  <c r="A319" i="8"/>
  <c r="A320" i="8"/>
  <c r="A321" i="8"/>
  <c r="A322" i="8"/>
  <c r="A323" i="8"/>
  <c r="V311" i="8"/>
  <c r="W311" i="8"/>
  <c r="T311" i="8"/>
  <c r="N311" i="8"/>
  <c r="P311" i="8"/>
  <c r="K311" i="8"/>
  <c r="V243" i="8"/>
  <c r="T243" i="8"/>
  <c r="N243" i="8"/>
  <c r="P243" i="8"/>
  <c r="V242" i="8"/>
  <c r="T242" i="8"/>
  <c r="W242" i="8"/>
  <c r="N242" i="8"/>
  <c r="P242" i="8"/>
  <c r="V241" i="8"/>
  <c r="W241" i="8"/>
  <c r="T241" i="8"/>
  <c r="N241" i="8"/>
  <c r="P241" i="8"/>
  <c r="V240" i="8"/>
  <c r="T240" i="8"/>
  <c r="N240" i="8"/>
  <c r="P240" i="8"/>
  <c r="V239" i="8"/>
  <c r="T239" i="8"/>
  <c r="N239" i="8"/>
  <c r="P239" i="8"/>
  <c r="V238" i="8"/>
  <c r="T238" i="8"/>
  <c r="W238" i="8"/>
  <c r="N238" i="8"/>
  <c r="P238" i="8"/>
  <c r="V237" i="8"/>
  <c r="T237" i="8"/>
  <c r="N237" i="8"/>
  <c r="P237" i="8"/>
  <c r="W237" i="8"/>
  <c r="W240" i="8"/>
  <c r="V236" i="8"/>
  <c r="T236" i="8"/>
  <c r="N236" i="8"/>
  <c r="P236" i="8"/>
  <c r="W236" i="8"/>
  <c r="V235" i="8"/>
  <c r="T235" i="8"/>
  <c r="N235" i="8"/>
  <c r="P235" i="8"/>
  <c r="W235" i="8"/>
  <c r="V234" i="8"/>
  <c r="T234" i="8"/>
  <c r="N234" i="8"/>
  <c r="P234" i="8"/>
  <c r="V233" i="8"/>
  <c r="T233" i="8"/>
  <c r="N233" i="8"/>
  <c r="P233" i="8"/>
  <c r="W233" i="8"/>
  <c r="V232" i="8"/>
  <c r="T232" i="8"/>
  <c r="N232" i="8"/>
  <c r="P232" i="8"/>
  <c r="V231" i="8"/>
  <c r="T231" i="8"/>
  <c r="N231" i="8"/>
  <c r="P231" i="8"/>
  <c r="V230" i="8"/>
  <c r="T230" i="8"/>
  <c r="N230" i="8"/>
  <c r="P230" i="8"/>
  <c r="W230" i="8"/>
  <c r="V165" i="8"/>
  <c r="T165" i="8"/>
  <c r="N165" i="8"/>
  <c r="P165" i="8"/>
  <c r="V164" i="8"/>
  <c r="T164" i="8"/>
  <c r="N164" i="8"/>
  <c r="P164" i="8"/>
  <c r="W164" i="8"/>
  <c r="V163" i="8"/>
  <c r="T163" i="8"/>
  <c r="N163" i="8"/>
  <c r="P163" i="8"/>
  <c r="V162" i="8"/>
  <c r="T162" i="8"/>
  <c r="N162" i="8"/>
  <c r="P162" i="8"/>
  <c r="V155" i="8"/>
  <c r="T155" i="8"/>
  <c r="N155" i="8"/>
  <c r="P155" i="8"/>
  <c r="V154" i="8"/>
  <c r="T154" i="8"/>
  <c r="N154" i="8"/>
  <c r="P154" i="8"/>
  <c r="W154" i="8"/>
  <c r="V153" i="8"/>
  <c r="T153" i="8"/>
  <c r="N153" i="8"/>
  <c r="P153" i="8"/>
  <c r="W153" i="8"/>
  <c r="V152" i="8"/>
  <c r="T152" i="8"/>
  <c r="N152" i="8"/>
  <c r="P152" i="8"/>
  <c r="W152" i="8"/>
  <c r="V151" i="8"/>
  <c r="T151" i="8"/>
  <c r="N151" i="8"/>
  <c r="P151" i="8"/>
  <c r="V150" i="8"/>
  <c r="T150" i="8"/>
  <c r="N150" i="8"/>
  <c r="P150" i="8"/>
  <c r="W150" i="8"/>
  <c r="V149" i="8"/>
  <c r="T149" i="8"/>
  <c r="N149" i="8"/>
  <c r="P149" i="8"/>
  <c r="W149" i="8"/>
  <c r="V148" i="8"/>
  <c r="T148" i="8"/>
  <c r="N148" i="8"/>
  <c r="P148" i="8"/>
  <c r="W148" i="8"/>
  <c r="V147" i="8"/>
  <c r="T147" i="8"/>
  <c r="N147" i="8"/>
  <c r="P147" i="8"/>
  <c r="W147" i="8"/>
  <c r="V146" i="8"/>
  <c r="T146" i="8"/>
  <c r="N146" i="8"/>
  <c r="P146" i="8"/>
  <c r="W146" i="8"/>
  <c r="V145" i="8"/>
  <c r="T145" i="8"/>
  <c r="N145" i="8"/>
  <c r="P145" i="8"/>
  <c r="V144" i="8"/>
  <c r="T144" i="8"/>
  <c r="N144" i="8"/>
  <c r="P144" i="8"/>
  <c r="W144" i="8"/>
  <c r="T136" i="8"/>
  <c r="T135" i="8"/>
  <c r="T128" i="8"/>
  <c r="W128" i="8"/>
  <c r="V96" i="8"/>
  <c r="W96" i="8"/>
  <c r="T96" i="8"/>
  <c r="N96" i="8"/>
  <c r="P96" i="8"/>
  <c r="V92" i="8"/>
  <c r="W92" i="8"/>
  <c r="T92" i="8"/>
  <c r="N92" i="8"/>
  <c r="P92" i="8"/>
  <c r="V91" i="8"/>
  <c r="T91" i="8"/>
  <c r="N91" i="8"/>
  <c r="P91" i="8"/>
  <c r="W91" i="8"/>
  <c r="V90" i="8"/>
  <c r="T90" i="8"/>
  <c r="N90" i="8"/>
  <c r="P90" i="8"/>
  <c r="V89" i="8"/>
  <c r="T89" i="8"/>
  <c r="N89" i="8"/>
  <c r="P89" i="8"/>
  <c r="W89" i="8"/>
  <c r="V88" i="8"/>
  <c r="T88" i="8"/>
  <c r="N88" i="8"/>
  <c r="P88" i="8"/>
  <c r="V87" i="8"/>
  <c r="T87" i="8"/>
  <c r="N87" i="8"/>
  <c r="P87" i="8"/>
  <c r="V79" i="8"/>
  <c r="T79" i="8"/>
  <c r="N79" i="8"/>
  <c r="P79" i="8"/>
  <c r="V78" i="8"/>
  <c r="T78" i="8"/>
  <c r="N78" i="8"/>
  <c r="P78" i="8"/>
  <c r="W78" i="8"/>
  <c r="V77" i="8"/>
  <c r="T77" i="8"/>
  <c r="N77" i="8"/>
  <c r="P77" i="8"/>
  <c r="V76" i="8"/>
  <c r="T76" i="8"/>
  <c r="N76" i="8"/>
  <c r="P76" i="8"/>
  <c r="W76" i="8"/>
  <c r="V70" i="8"/>
  <c r="T70" i="8"/>
  <c r="N70" i="8"/>
  <c r="P70" i="8"/>
  <c r="V69" i="8"/>
  <c r="T69" i="8"/>
  <c r="N69" i="8"/>
  <c r="P69" i="8"/>
  <c r="V68" i="8"/>
  <c r="T68" i="8"/>
  <c r="N68" i="8"/>
  <c r="P68" i="8"/>
  <c r="V67" i="8"/>
  <c r="T67" i="8"/>
  <c r="N67" i="8"/>
  <c r="P67" i="8"/>
  <c r="V66" i="8"/>
  <c r="W66" i="8"/>
  <c r="T66" i="8"/>
  <c r="N66" i="8"/>
  <c r="P66" i="8"/>
  <c r="V65" i="8"/>
  <c r="T65" i="8"/>
  <c r="N65" i="8"/>
  <c r="P65" i="8"/>
  <c r="W65" i="8"/>
  <c r="V64" i="8"/>
  <c r="W64" i="8"/>
  <c r="T64" i="8"/>
  <c r="N64" i="8"/>
  <c r="P64" i="8"/>
  <c r="V63" i="8"/>
  <c r="T63" i="8"/>
  <c r="N63" i="8"/>
  <c r="P63" i="8"/>
  <c r="V62" i="8"/>
  <c r="W62" i="8"/>
  <c r="T62" i="8"/>
  <c r="N62" i="8"/>
  <c r="P62" i="8"/>
  <c r="V61" i="8"/>
  <c r="T61" i="8"/>
  <c r="N61" i="8"/>
  <c r="P61" i="8"/>
  <c r="V60" i="8"/>
  <c r="W60" i="8"/>
  <c r="T60" i="8"/>
  <c r="N60" i="8"/>
  <c r="P60" i="8"/>
  <c r="V59" i="8"/>
  <c r="T59" i="8"/>
  <c r="N59" i="8"/>
  <c r="P59" i="8"/>
  <c r="V58" i="8"/>
  <c r="W58" i="8"/>
  <c r="T58" i="8"/>
  <c r="N58" i="8"/>
  <c r="P58" i="8"/>
  <c r="V57" i="8"/>
  <c r="T57" i="8"/>
  <c r="N57" i="8"/>
  <c r="P57" i="8"/>
  <c r="W57" i="8"/>
  <c r="V56" i="8"/>
  <c r="W56" i="8"/>
  <c r="T56" i="8"/>
  <c r="N56" i="8"/>
  <c r="P56" i="8"/>
  <c r="V55" i="8"/>
  <c r="T55" i="8"/>
  <c r="N55" i="8"/>
  <c r="P55" i="8"/>
  <c r="W55" i="8"/>
  <c r="V54" i="8"/>
  <c r="W54" i="8"/>
  <c r="T54" i="8"/>
  <c r="N54" i="8"/>
  <c r="P54" i="8"/>
  <c r="V53" i="8"/>
  <c r="T53" i="8"/>
  <c r="N53" i="8"/>
  <c r="P53" i="8"/>
  <c r="W53" i="8"/>
  <c r="W139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W169" i="8"/>
  <c r="W334" i="8"/>
  <c r="W68" i="8"/>
  <c r="U351" i="8"/>
  <c r="U371" i="8"/>
  <c r="W142" i="8"/>
  <c r="W231" i="8"/>
  <c r="W90" i="8"/>
  <c r="W63" i="8"/>
  <c r="H343" i="8"/>
  <c r="K343" i="8"/>
  <c r="W77" i="8"/>
  <c r="W195" i="8"/>
  <c r="W204" i="8"/>
  <c r="W201" i="8"/>
  <c r="W67" i="8"/>
  <c r="U352" i="8"/>
  <c r="W213" i="8"/>
  <c r="W207" i="8"/>
  <c r="U361" i="8"/>
  <c r="W221" i="8"/>
  <c r="W209" i="8"/>
  <c r="U362" i="8"/>
  <c r="W217" i="8"/>
  <c r="U365" i="8"/>
  <c r="W141" i="8"/>
  <c r="W59" i="8"/>
  <c r="W151" i="8"/>
  <c r="W138" i="8"/>
  <c r="U364" i="8"/>
  <c r="U366" i="8"/>
  <c r="U360" i="8"/>
  <c r="W190" i="8"/>
  <c r="W203" i="8"/>
  <c r="U368" i="8"/>
  <c r="W69" i="8"/>
  <c r="W336" i="8"/>
  <c r="U357" i="8"/>
  <c r="U356" i="8"/>
  <c r="W70" i="8"/>
  <c r="W222" i="8"/>
  <c r="W229" i="8"/>
  <c r="U359" i="8"/>
  <c r="W61" i="8"/>
  <c r="W88" i="8"/>
  <c r="W191" i="8"/>
  <c r="W211" i="8"/>
  <c r="W225" i="8"/>
  <c r="W155" i="8"/>
  <c r="W214" i="8"/>
  <c r="W198" i="8"/>
  <c r="W197" i="8"/>
  <c r="W223" i="8"/>
  <c r="V353" i="8"/>
  <c r="W140" i="8"/>
  <c r="W227" i="8"/>
  <c r="W168" i="8"/>
  <c r="V34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W218" i="8"/>
  <c r="W162" i="8"/>
  <c r="W165" i="8"/>
  <c r="W159" i="8"/>
  <c r="W158" i="8"/>
  <c r="W161" i="8"/>
  <c r="W157" i="8"/>
  <c r="W21" i="8"/>
  <c r="C7" i="7"/>
  <c r="C6" i="7"/>
  <c r="C5" i="7"/>
  <c r="C13" i="7"/>
  <c r="C9" i="7"/>
  <c r="C8" i="7"/>
  <c r="C10" i="7"/>
  <c r="P313" i="8"/>
  <c r="P315" i="8"/>
  <c r="W315" i="8"/>
  <c r="Y60" i="8"/>
  <c r="B30" i="6"/>
  <c r="B33" i="6"/>
  <c r="V357" i="8"/>
  <c r="W330" i="8"/>
  <c r="W345" i="8"/>
  <c r="W346" i="8"/>
  <c r="V359" i="8"/>
  <c r="Y53" i="8"/>
  <c r="B26" i="6"/>
  <c r="B28" i="6"/>
  <c r="W202" i="8"/>
  <c r="W200" i="8"/>
  <c r="W226" i="8"/>
  <c r="Y205" i="8"/>
  <c r="B86" i="6"/>
  <c r="B88" i="6"/>
  <c r="Y237" i="8"/>
  <c r="B94" i="6"/>
  <c r="B96" i="6"/>
  <c r="U354" i="8"/>
  <c r="V354" i="8"/>
  <c r="U363" i="8"/>
  <c r="V363" i="8"/>
  <c r="V352" i="8"/>
  <c r="V366" i="8"/>
  <c r="V364" i="8"/>
  <c r="V368" i="8"/>
  <c r="V369" i="8"/>
  <c r="V360" i="8"/>
  <c r="V365" i="8"/>
  <c r="V361" i="8"/>
  <c r="V356" i="8"/>
  <c r="V362" i="8"/>
  <c r="T355" i="8"/>
  <c r="W247" i="8"/>
  <c r="W257" i="8"/>
  <c r="V313" i="8"/>
  <c r="W232" i="8"/>
  <c r="W234" i="8"/>
  <c r="W341" i="8"/>
  <c r="W132" i="8"/>
  <c r="W104" i="8"/>
  <c r="W40" i="8"/>
  <c r="W23" i="8"/>
  <c r="W250" i="8"/>
  <c r="W255" i="8"/>
  <c r="W271" i="8"/>
  <c r="W301" i="8"/>
  <c r="W285" i="8"/>
  <c r="W72" i="8"/>
  <c r="W74" i="8"/>
  <c r="W187" i="8"/>
  <c r="W183" i="8"/>
  <c r="W171" i="8"/>
  <c r="V351" i="8"/>
  <c r="V371" i="8"/>
  <c r="W10" i="8"/>
  <c r="W133" i="8"/>
  <c r="W117" i="8"/>
  <c r="K313" i="8"/>
  <c r="H314" i="8"/>
  <c r="K314" i="8"/>
  <c r="W25" i="8"/>
  <c r="T313" i="8"/>
  <c r="Q314" i="8"/>
  <c r="T314" i="8"/>
  <c r="W16" i="8"/>
  <c r="W44" i="8"/>
  <c r="W245" i="8"/>
  <c r="Y244" i="8"/>
  <c r="B98" i="6"/>
  <c r="B103" i="6"/>
  <c r="W269" i="8"/>
  <c r="W308" i="8"/>
  <c r="W135" i="8"/>
  <c r="W110" i="8"/>
  <c r="W101" i="8"/>
  <c r="Y98" i="8"/>
  <c r="B45" i="6"/>
  <c r="B49" i="6"/>
  <c r="W239" i="8"/>
  <c r="W243" i="8"/>
  <c r="W49" i="8"/>
  <c r="W29" i="8"/>
  <c r="W11" i="8"/>
  <c r="W14" i="8"/>
  <c r="W248" i="8"/>
  <c r="W251" i="8"/>
  <c r="W296" i="8"/>
  <c r="W280" i="8"/>
  <c r="Y277" i="8"/>
  <c r="W87" i="8"/>
  <c r="Y87" i="8"/>
  <c r="B39" i="6"/>
  <c r="B43" i="6"/>
  <c r="W126" i="8"/>
  <c r="W175" i="8"/>
  <c r="W129" i="8"/>
  <c r="U367" i="8"/>
  <c r="V367" i="8"/>
  <c r="W79" i="8"/>
  <c r="W145" i="8"/>
  <c r="Y137" i="8"/>
  <c r="B59" i="6"/>
  <c r="B62" i="6"/>
  <c r="W163" i="8"/>
  <c r="W196" i="8"/>
  <c r="Y190" i="8"/>
  <c r="B82" i="6"/>
  <c r="B84" i="6"/>
  <c r="W34" i="8"/>
  <c r="W17" i="8"/>
  <c r="W43" i="8"/>
  <c r="Y41" i="8"/>
  <c r="B18" i="6"/>
  <c r="B20" i="6"/>
  <c r="W249" i="8"/>
  <c r="W261" i="8"/>
  <c r="W304" i="8"/>
  <c r="W113" i="8"/>
  <c r="Y113" i="8"/>
  <c r="B52" i="6"/>
  <c r="U358" i="8"/>
  <c r="V358" i="8"/>
  <c r="Y156" i="8"/>
  <c r="B70" i="6"/>
  <c r="B72" i="6"/>
  <c r="C12" i="7"/>
  <c r="C11" i="7"/>
  <c r="C16" i="7"/>
  <c r="W313" i="8"/>
  <c r="Y8" i="8"/>
  <c r="B121" i="6"/>
  <c r="B124" i="6"/>
  <c r="U355" i="8"/>
  <c r="V355" i="8"/>
  <c r="Y260" i="8"/>
  <c r="B109" i="6"/>
  <c r="B111" i="6"/>
  <c r="Y171" i="8"/>
  <c r="B78" i="6"/>
  <c r="Y25" i="8"/>
  <c r="B14" i="6"/>
  <c r="B16" i="6"/>
  <c r="W314" i="8"/>
  <c r="B53" i="6"/>
  <c r="B57" i="6"/>
  <c r="T371" i="8"/>
  <c r="Y71" i="8"/>
  <c r="B35" i="6"/>
  <c r="B37" i="6"/>
  <c r="C14" i="7"/>
  <c r="C19" i="7"/>
  <c r="C15" i="7"/>
  <c r="W317" i="8"/>
  <c r="C18" i="7"/>
  <c r="C25" i="7"/>
  <c r="C22" i="7"/>
  <c r="C17" i="7"/>
  <c r="H318" i="8"/>
  <c r="W318" i="8"/>
  <c r="W320" i="8"/>
  <c r="C23" i="7"/>
  <c r="C20" i="7"/>
  <c r="C21" i="7"/>
  <c r="C24" i="7"/>
  <c r="W321" i="8"/>
  <c r="W322" i="8"/>
  <c r="W323" i="8"/>
  <c r="C76" i="7"/>
  <c r="B12" i="6"/>
  <c r="B127" i="6"/>
  <c r="B129" i="6"/>
  <c r="B130" i="6"/>
  <c r="B131" i="6"/>
  <c r="I130" i="6"/>
</calcChain>
</file>

<file path=xl/sharedStrings.xml><?xml version="1.0" encoding="utf-8"?>
<sst xmlns="http://schemas.openxmlformats.org/spreadsheetml/2006/main" count="2427" uniqueCount="1279">
  <si>
    <t>The Alleato Group  .  8383 Craig Street #150  .  Indianapolis, IN  .  46250</t>
  </si>
  <si>
    <t>Contact</t>
  </si>
  <si>
    <t>Brandon Clymer</t>
  </si>
  <si>
    <t>bclymer@alleatogroup.com</t>
  </si>
  <si>
    <t>317.760.0088</t>
  </si>
  <si>
    <t>AJ Taylor</t>
  </si>
  <si>
    <t>ataylor@alleatogroup.com</t>
  </si>
  <si>
    <t>317.363.3396</t>
  </si>
  <si>
    <t>Project:</t>
  </si>
  <si>
    <t>Location:</t>
  </si>
  <si>
    <t>Division 01 General Conditions</t>
  </si>
  <si>
    <t>Total</t>
  </si>
  <si>
    <t>Division 02 Existing Conditions</t>
  </si>
  <si>
    <t>From Qty Sheet</t>
  </si>
  <si>
    <t>Division 03 Concrete</t>
  </si>
  <si>
    <t xml:space="preserve"> </t>
  </si>
  <si>
    <t xml:space="preserve">Division 03.1 Precast </t>
  </si>
  <si>
    <t xml:space="preserve">Precast </t>
  </si>
  <si>
    <t>ATMI</t>
  </si>
  <si>
    <t>Division 04 Masonry</t>
  </si>
  <si>
    <t>Masonry</t>
  </si>
  <si>
    <t>Division 05 Metals</t>
  </si>
  <si>
    <t>bollards</t>
  </si>
  <si>
    <t>Division 06 Wood Plastics Composits</t>
  </si>
  <si>
    <t>Division 07 Thermal and Moisture Protection</t>
  </si>
  <si>
    <t>Division 08 Openings</t>
  </si>
  <si>
    <t>Division 09 Finishes</t>
  </si>
  <si>
    <t>Final Cleaning</t>
  </si>
  <si>
    <t>Tax</t>
  </si>
  <si>
    <t>Division 10 Specialties</t>
  </si>
  <si>
    <t>Division 11 Equipment</t>
  </si>
  <si>
    <t>Division 12 Furnishings</t>
  </si>
  <si>
    <t>Division 21 Fire Suppression</t>
  </si>
  <si>
    <t>Division 22 Plumbing</t>
  </si>
  <si>
    <t>Division 23 HVAC</t>
  </si>
  <si>
    <t xml:space="preserve">Division 26 Electrical </t>
  </si>
  <si>
    <t xml:space="preserve">Division 27 Communications </t>
  </si>
  <si>
    <t>Division 28 Electronic Safety and Secutiry</t>
  </si>
  <si>
    <t>Division 31 Earthwork</t>
  </si>
  <si>
    <t>Division 31.10 Soil Stabilization</t>
  </si>
  <si>
    <t>Division 32 Exterior Improvements</t>
  </si>
  <si>
    <t>Division 32.10 Paving</t>
  </si>
  <si>
    <t>Division 33 Utilities</t>
  </si>
  <si>
    <t xml:space="preserve">Division 50 Design </t>
  </si>
  <si>
    <t>Subtotal</t>
  </si>
  <si>
    <t>Contingency</t>
  </si>
  <si>
    <t>Insurance</t>
  </si>
  <si>
    <t>Fee</t>
  </si>
  <si>
    <t>Total Cost</t>
  </si>
  <si>
    <t>Alternates</t>
  </si>
  <si>
    <t>Allowance Schedule</t>
  </si>
  <si>
    <t>Misc. Gyp. Board Patching</t>
  </si>
  <si>
    <t>(Material and Labor)</t>
  </si>
  <si>
    <t>Electrical</t>
  </si>
  <si>
    <t>Design for Permitting</t>
  </si>
  <si>
    <t>Doors, Frames, Hardware</t>
  </si>
  <si>
    <t>(Material only)</t>
  </si>
  <si>
    <t>Project Duration</t>
  </si>
  <si>
    <t>Months</t>
  </si>
  <si>
    <t>Weeks</t>
  </si>
  <si>
    <t>General Conditions</t>
  </si>
  <si>
    <t>Quantity</t>
  </si>
  <si>
    <t>Unit</t>
  </si>
  <si>
    <t>Rate</t>
  </si>
  <si>
    <t>01-3120</t>
  </si>
  <si>
    <t>Vice President</t>
  </si>
  <si>
    <t>01-3126</t>
  </si>
  <si>
    <t>Pre-construction</t>
  </si>
  <si>
    <t>01-3127</t>
  </si>
  <si>
    <t>Sr. Project Manager</t>
  </si>
  <si>
    <t>01-3128</t>
  </si>
  <si>
    <t>Project Manager</t>
  </si>
  <si>
    <t>01-3129</t>
  </si>
  <si>
    <t>Assistant Project Manager (APM)</t>
  </si>
  <si>
    <t>01-3130</t>
  </si>
  <si>
    <t>Project Engineer</t>
  </si>
  <si>
    <t>01-3131</t>
  </si>
  <si>
    <t>Field Engineer</t>
  </si>
  <si>
    <t>01-3132</t>
  </si>
  <si>
    <t>Intern</t>
  </si>
  <si>
    <t>01-3142</t>
  </si>
  <si>
    <t>General Superintendent</t>
  </si>
  <si>
    <t>01-3143</t>
  </si>
  <si>
    <t>Sr. Superintendent</t>
  </si>
  <si>
    <t>01-3144</t>
  </si>
  <si>
    <t>Superintendent</t>
  </si>
  <si>
    <t>01-3145</t>
  </si>
  <si>
    <t>Assistant Superintendent</t>
  </si>
  <si>
    <t>01-3223</t>
  </si>
  <si>
    <t>Construction Layout</t>
  </si>
  <si>
    <t>01-3236</t>
  </si>
  <si>
    <t>Aerial &amp; Periodic Drones</t>
  </si>
  <si>
    <t>01-3238</t>
  </si>
  <si>
    <t>Jobsite Security</t>
  </si>
  <si>
    <t>LS</t>
  </si>
  <si>
    <t>01-3245</t>
  </si>
  <si>
    <t>Office Supplies</t>
  </si>
  <si>
    <t>01-3247</t>
  </si>
  <si>
    <t>Printing &amp; Copying</t>
  </si>
  <si>
    <t>01-3249</t>
  </si>
  <si>
    <t>Postage &amp; Courier</t>
  </si>
  <si>
    <t>01-3329</t>
  </si>
  <si>
    <t>LEED Documentation</t>
  </si>
  <si>
    <t>01-3514</t>
  </si>
  <si>
    <t>Legal Fees</t>
  </si>
  <si>
    <t>EA</t>
  </si>
  <si>
    <t>01-4123</t>
  </si>
  <si>
    <t>Fees</t>
  </si>
  <si>
    <t>lf</t>
  </si>
  <si>
    <t>01-4124</t>
  </si>
  <si>
    <t>Sanitary Fees</t>
  </si>
  <si>
    <t>SF</t>
  </si>
  <si>
    <t>01-4126</t>
  </si>
  <si>
    <t>Permit Requirements</t>
  </si>
  <si>
    <t>01-4523</t>
  </si>
  <si>
    <t>Testing and Inspections</t>
  </si>
  <si>
    <t>01-4533</t>
  </si>
  <si>
    <t>Municipality Inspections</t>
  </si>
  <si>
    <t>01-4613</t>
  </si>
  <si>
    <t>Winter Conditions</t>
  </si>
  <si>
    <t>01-5113</t>
  </si>
  <si>
    <t>Temporary Electric</t>
  </si>
  <si>
    <t>01-5116</t>
  </si>
  <si>
    <t>Temporary Fire Protection</t>
  </si>
  <si>
    <t>01-5119</t>
  </si>
  <si>
    <t>Temporary Fuel</t>
  </si>
  <si>
    <t>01-5123</t>
  </si>
  <si>
    <t>Temporary HVAC</t>
  </si>
  <si>
    <t>01-5126</t>
  </si>
  <si>
    <t>Temporary Lighting</t>
  </si>
  <si>
    <t>01-5129</t>
  </si>
  <si>
    <t>Temporary Gas</t>
  </si>
  <si>
    <t>01-5133</t>
  </si>
  <si>
    <t>Temporary Internet/Telecomm</t>
  </si>
  <si>
    <t>01-5136</t>
  </si>
  <si>
    <t>Temporary Water</t>
  </si>
  <si>
    <t>01-5213</t>
  </si>
  <si>
    <t>Field Offices</t>
  </si>
  <si>
    <t>01-5214</t>
  </si>
  <si>
    <t>Temporary Storage</t>
  </si>
  <si>
    <t>01-5216</t>
  </si>
  <si>
    <t>First Aid / Safety Supplies</t>
  </si>
  <si>
    <t>01-5217</t>
  </si>
  <si>
    <t>Safety Inspections</t>
  </si>
  <si>
    <t>01-5219</t>
  </si>
  <si>
    <t>Temporary Toilets</t>
  </si>
  <si>
    <t>01-5419</t>
  </si>
  <si>
    <t>Temporary Cranes</t>
  </si>
  <si>
    <t>01-5423</t>
  </si>
  <si>
    <t>Temp Scaffolding &amp; Platforms</t>
  </si>
  <si>
    <t>01-5513</t>
  </si>
  <si>
    <t>Temporary Access Roads</t>
  </si>
  <si>
    <t>01-5519</t>
  </si>
  <si>
    <t>Temporary Parking Areas</t>
  </si>
  <si>
    <t>01-5623</t>
  </si>
  <si>
    <t>Temporary Barricades</t>
  </si>
  <si>
    <t>01-5626</t>
  </si>
  <si>
    <t>Tempoary Fencing</t>
  </si>
  <si>
    <t>01-5639</t>
  </si>
  <si>
    <t>Temp Tree &amp; Plant Protection</t>
  </si>
  <si>
    <t>01-5713</t>
  </si>
  <si>
    <t>Temporary Erosion and Sediment</t>
  </si>
  <si>
    <t>01-5813</t>
  </si>
  <si>
    <t>Temporary Project Signage</t>
  </si>
  <si>
    <t>01-6113</t>
  </si>
  <si>
    <t>Software Licensing</t>
  </si>
  <si>
    <t>01-6115</t>
  </si>
  <si>
    <t>Performance and Payment Bonds</t>
  </si>
  <si>
    <t>01-6119</t>
  </si>
  <si>
    <t>Maintenenace Bond</t>
  </si>
  <si>
    <t>01-6500</t>
  </si>
  <si>
    <t>Travel &amp; Entertainment</t>
  </si>
  <si>
    <t>01-6501</t>
  </si>
  <si>
    <t>Lunches</t>
  </si>
  <si>
    <t>01-6502</t>
  </si>
  <si>
    <t>Truck Allowance</t>
  </si>
  <si>
    <t>01-6503</t>
  </si>
  <si>
    <t>Truck Fuel</t>
  </si>
  <si>
    <t>01-6504</t>
  </si>
  <si>
    <t>Recruitment</t>
  </si>
  <si>
    <t>01-6505</t>
  </si>
  <si>
    <t>Marketing</t>
  </si>
  <si>
    <t>01-7123</t>
  </si>
  <si>
    <t>Construction Surveying</t>
  </si>
  <si>
    <t>01-7329</t>
  </si>
  <si>
    <t>Cutting and Patching</t>
  </si>
  <si>
    <t>01-7333</t>
  </si>
  <si>
    <t>Misc Small Tools</t>
  </si>
  <si>
    <t>01-7336</t>
  </si>
  <si>
    <t>Equipment Rental</t>
  </si>
  <si>
    <t>01-7413</t>
  </si>
  <si>
    <t>Progress Cleaning</t>
  </si>
  <si>
    <t>01-7416</t>
  </si>
  <si>
    <t>Site Maintenance</t>
  </si>
  <si>
    <t>01-7419</t>
  </si>
  <si>
    <t>Dumpsters</t>
  </si>
  <si>
    <t>01-7423</t>
  </si>
  <si>
    <t>01-7425</t>
  </si>
  <si>
    <t>General Labor</t>
  </si>
  <si>
    <t>01-7433</t>
  </si>
  <si>
    <t>Window Washing</t>
  </si>
  <si>
    <t>01-7823</t>
  </si>
  <si>
    <t>Operation and Maintenance Data</t>
  </si>
  <si>
    <t>01-7836</t>
  </si>
  <si>
    <t>Warranties</t>
  </si>
  <si>
    <t>01-7841</t>
  </si>
  <si>
    <t>Project Final Photos</t>
  </si>
  <si>
    <t>01-8113</t>
  </si>
  <si>
    <t>Sust Design Reqmts/LEED Reqmts</t>
  </si>
  <si>
    <t>01-9119</t>
  </si>
  <si>
    <t>Facility Commissioning</t>
  </si>
  <si>
    <t>Client:</t>
  </si>
  <si>
    <t>Job Name:</t>
  </si>
  <si>
    <t>Estimate Number:</t>
  </si>
  <si>
    <t>Estimate Date:</t>
  </si>
  <si>
    <t>Estimator:</t>
  </si>
  <si>
    <t>Revision Date:</t>
  </si>
  <si>
    <t>Dimensions</t>
  </si>
  <si>
    <t>Material</t>
  </si>
  <si>
    <t>Labor</t>
  </si>
  <si>
    <t>Equipment (incl fuel)</t>
  </si>
  <si>
    <t>Subcontract</t>
  </si>
  <si>
    <t>Line</t>
  </si>
  <si>
    <t>Division</t>
  </si>
  <si>
    <t>Description</t>
  </si>
  <si>
    <t>Length</t>
  </si>
  <si>
    <t>Width</t>
  </si>
  <si>
    <t>Depth</t>
  </si>
  <si>
    <t>No. of Ea.</t>
  </si>
  <si>
    <t>Unit Price</t>
  </si>
  <si>
    <t>Cost</t>
  </si>
  <si>
    <t>Crew</t>
  </si>
  <si>
    <t>Hrs</t>
  </si>
  <si>
    <t>MH</t>
  </si>
  <si>
    <t>Duration</t>
  </si>
  <si>
    <t>Comments</t>
  </si>
  <si>
    <t>00 Design</t>
  </si>
  <si>
    <t>Alleato Coordination</t>
  </si>
  <si>
    <t>lot</t>
  </si>
  <si>
    <t>Boundary Survey</t>
  </si>
  <si>
    <t>Topographic Survey</t>
  </si>
  <si>
    <t>Geotechnical Survey</t>
  </si>
  <si>
    <t>Civil Design</t>
  </si>
  <si>
    <t>Architectural Design</t>
  </si>
  <si>
    <t>Structural</t>
  </si>
  <si>
    <t>MEP Design</t>
  </si>
  <si>
    <t>Landscape Design</t>
  </si>
  <si>
    <t>01 General Conditions</t>
  </si>
  <si>
    <t>02 Existing Conditions</t>
  </si>
  <si>
    <t>02-0150</t>
  </si>
  <si>
    <t>02-4116</t>
  </si>
  <si>
    <t>02-4113</t>
  </si>
  <si>
    <t>sf</t>
  </si>
  <si>
    <t>02-2219</t>
  </si>
  <si>
    <t>02-2400</t>
  </si>
  <si>
    <t>03 Concrete</t>
  </si>
  <si>
    <t>ea</t>
  </si>
  <si>
    <t>cy</t>
  </si>
  <si>
    <t>03-2000</t>
  </si>
  <si>
    <t>03-2500</t>
  </si>
  <si>
    <t>04 Masonry</t>
  </si>
  <si>
    <t>04-2000</t>
  </si>
  <si>
    <t>05 Metals</t>
  </si>
  <si>
    <t>05-1200</t>
  </si>
  <si>
    <t>06 Wood Plastics Composits</t>
  </si>
  <si>
    <t>06-1100</t>
  </si>
  <si>
    <t>07 Thermal and Moisture Protection</t>
  </si>
  <si>
    <t>08 Openings</t>
  </si>
  <si>
    <t>08-5400</t>
  </si>
  <si>
    <t>08-3100</t>
  </si>
  <si>
    <t>08-7100</t>
  </si>
  <si>
    <t>08-4300</t>
  </si>
  <si>
    <t>08-3600</t>
  </si>
  <si>
    <t>LF exterior wall</t>
  </si>
  <si>
    <t>09 Finishes</t>
  </si>
  <si>
    <t>height of wall:</t>
  </si>
  <si>
    <t>09-2116</t>
  </si>
  <si>
    <t>LF interior wall:</t>
  </si>
  <si>
    <t>Amount</t>
  </si>
  <si>
    <t>6" 20'</t>
  </si>
  <si>
    <t>09-2216</t>
  </si>
  <si>
    <t>4x12 Type X</t>
  </si>
  <si>
    <t>6" Slip - 10'</t>
  </si>
  <si>
    <t>2" bottom track</t>
  </si>
  <si>
    <t>09-6800</t>
  </si>
  <si>
    <t>Nails/Screws</t>
  </si>
  <si>
    <t>Mud/Tape</t>
  </si>
  <si>
    <t>09-6013</t>
  </si>
  <si>
    <t>insulation</t>
  </si>
  <si>
    <t>4" 10'</t>
  </si>
  <si>
    <t>09-9113</t>
  </si>
  <si>
    <t>09-5100</t>
  </si>
  <si>
    <t>09-9123</t>
  </si>
  <si>
    <t>10 Specialties</t>
  </si>
  <si>
    <t>10-1400</t>
  </si>
  <si>
    <t>10-4000</t>
  </si>
  <si>
    <t>10-2813</t>
  </si>
  <si>
    <t>10-4116</t>
  </si>
  <si>
    <t>11 Equipment</t>
  </si>
  <si>
    <t>12 Furnishings</t>
  </si>
  <si>
    <t>12-3000</t>
  </si>
  <si>
    <t xml:space="preserve">lot </t>
  </si>
  <si>
    <t>12-5100</t>
  </si>
  <si>
    <t>21 Fire Suppression</t>
  </si>
  <si>
    <t>21-1200</t>
  </si>
  <si>
    <t>22 Plumbing</t>
  </si>
  <si>
    <t>22-1000</t>
  </si>
  <si>
    <t>bath</t>
  </si>
  <si>
    <t>22-1319</t>
  </si>
  <si>
    <t>23 HVAC</t>
  </si>
  <si>
    <t>26 Electrical</t>
  </si>
  <si>
    <t>26-2000</t>
  </si>
  <si>
    <t>26-5100</t>
  </si>
  <si>
    <t>loc</t>
  </si>
  <si>
    <t>27  Communications</t>
  </si>
  <si>
    <t>28 Electronic Safety and Security</t>
  </si>
  <si>
    <t>31 Earthwork</t>
  </si>
  <si>
    <t>32 Exterior Improvements</t>
  </si>
  <si>
    <t>52-5000</t>
  </si>
  <si>
    <t>32-3113</t>
  </si>
  <si>
    <t>32-1723</t>
  </si>
  <si>
    <t>33 Utilities/Storm/Drain</t>
  </si>
  <si>
    <t>33-4231</t>
  </si>
  <si>
    <t>Subtotal Direct Cost</t>
  </si>
  <si>
    <t>Sales Tax</t>
  </si>
  <si>
    <t>PRTI</t>
  </si>
  <si>
    <t>Subtotal with Taxes</t>
  </si>
  <si>
    <t>Design Fees</t>
  </si>
  <si>
    <t>Rate per Week</t>
  </si>
  <si>
    <t>No. of Wks</t>
  </si>
  <si>
    <t>Subtotal w/ GCs and Design</t>
  </si>
  <si>
    <t>P&amp;P Bond</t>
  </si>
  <si>
    <t>Estimate Total</t>
  </si>
  <si>
    <t>General Conditions Worksheet:</t>
  </si>
  <si>
    <t>min.</t>
  </si>
  <si>
    <t>mi.</t>
  </si>
  <si>
    <t>trips</t>
  </si>
  <si>
    <t>Distance office to site (fuel to get there)</t>
  </si>
  <si>
    <t>mi</t>
  </si>
  <si>
    <t>Time - office to site for supervision</t>
  </si>
  <si>
    <t>hrs</t>
  </si>
  <si>
    <t>(assumes supervision is salaried)</t>
  </si>
  <si>
    <t>Time - office to site for labor</t>
  </si>
  <si>
    <t>(assumes supervision is salaried, and labor reports to site)</t>
  </si>
  <si>
    <t>Time --- office to site</t>
  </si>
  <si>
    <t>Temp Power (connection in elec.)</t>
  </si>
  <si>
    <t>wk</t>
  </si>
  <si>
    <t>Temp water (reimburse Univ.)</t>
  </si>
  <si>
    <t>Office (use one in bldg)</t>
  </si>
  <si>
    <t>Sanitary</t>
  </si>
  <si>
    <t>Dumpster (large)</t>
  </si>
  <si>
    <t>Truck (&amp; Trailer ?)</t>
  </si>
  <si>
    <t>Superintendent Salary w/load</t>
  </si>
  <si>
    <t>Project Management Support</t>
  </si>
  <si>
    <t>General Office Support</t>
  </si>
  <si>
    <t>Parking Permit Fees</t>
  </si>
  <si>
    <t>Small Tools</t>
  </si>
  <si>
    <t>Safety &amp; other General Supplies</t>
  </si>
  <si>
    <t>Sales Tax (Supplies)</t>
  </si>
  <si>
    <t>Totals</t>
  </si>
  <si>
    <t>Total / week</t>
  </si>
  <si>
    <t>% of Total</t>
  </si>
  <si>
    <t xml:space="preserve">Total </t>
  </si>
  <si>
    <t>Design</t>
  </si>
  <si>
    <t>Regulatory</t>
  </si>
  <si>
    <t>Sitework</t>
  </si>
  <si>
    <t>Site Utilities</t>
  </si>
  <si>
    <t>Site Concrete</t>
  </si>
  <si>
    <t>Asphalt Paving</t>
  </si>
  <si>
    <t>Fencing</t>
  </si>
  <si>
    <t>Landscaping</t>
  </si>
  <si>
    <t>Building Fdn/SOG</t>
  </si>
  <si>
    <t>PEMB</t>
  </si>
  <si>
    <t>Overhead Door</t>
  </si>
  <si>
    <t>Storefront Entr / Glazing</t>
  </si>
  <si>
    <t>Painting</t>
  </si>
  <si>
    <t>Framing / Sheathing / Dec Wd</t>
  </si>
  <si>
    <t>Sprinklers</t>
  </si>
  <si>
    <t>Plumbing</t>
  </si>
  <si>
    <t>HVAC</t>
  </si>
  <si>
    <t>Sub Job</t>
  </si>
  <si>
    <t>Sub Job Description</t>
  </si>
  <si>
    <t>Cost Code</t>
  </si>
  <si>
    <t>Cost Code Description</t>
  </si>
  <si>
    <t>Cost Type</t>
  </si>
  <si>
    <t>Cost Type Description</t>
  </si>
  <si>
    <t>BLI UOM</t>
  </si>
  <si>
    <t>BPQ UOM</t>
  </si>
  <si>
    <t>BOOLEAN</t>
  </si>
  <si>
    <t>None</t>
  </si>
  <si>
    <t>E</t>
  </si>
  <si>
    <t>Equipment</t>
  </si>
  <si>
    <t>days</t>
  </si>
  <si>
    <t>True</t>
  </si>
  <si>
    <t>00-000</t>
  </si>
  <si>
    <t>Do Not Use</t>
  </si>
  <si>
    <t>L</t>
  </si>
  <si>
    <t>hours</t>
  </si>
  <si>
    <t>ls</t>
  </si>
  <si>
    <t>False</t>
  </si>
  <si>
    <t>M</t>
  </si>
  <si>
    <t>months</t>
  </si>
  <si>
    <t>weeks</t>
  </si>
  <si>
    <t>m</t>
  </si>
  <si>
    <t>R</t>
  </si>
  <si>
    <t>Contract Revenue</t>
  </si>
  <si>
    <t>years</t>
  </si>
  <si>
    <t>mm</t>
  </si>
  <si>
    <t>S</t>
  </si>
  <si>
    <t>m²</t>
  </si>
  <si>
    <t>X</t>
  </si>
  <si>
    <t>Expense</t>
  </si>
  <si>
    <t>sy</t>
  </si>
  <si>
    <t>m³</t>
  </si>
  <si>
    <t>kg</t>
  </si>
  <si>
    <t>lbs</t>
  </si>
  <si>
    <t>t</t>
  </si>
  <si>
    <t>ton</t>
  </si>
  <si>
    <t>Maintenance &amp; Site Remediation</t>
  </si>
  <si>
    <t>Traffic Assessment</t>
  </si>
  <si>
    <t>Environmental Assessments</t>
  </si>
  <si>
    <t>02-2600</t>
  </si>
  <si>
    <t>Hazard Material Assessments</t>
  </si>
  <si>
    <t>Selective Interior Demolition</t>
  </si>
  <si>
    <t>Structure Demolition</t>
  </si>
  <si>
    <t>02-4119</t>
  </si>
  <si>
    <t>02-6500</t>
  </si>
  <si>
    <t>Undergrnd Storage Tank Removal</t>
  </si>
  <si>
    <t>02-8213</t>
  </si>
  <si>
    <t>Asbestos Abatement</t>
  </si>
  <si>
    <t>Foundations</t>
  </si>
  <si>
    <t>Concrete Subbase</t>
  </si>
  <si>
    <t>03-3000</t>
  </si>
  <si>
    <t>Cast-in-Place Concrete</t>
  </si>
  <si>
    <t>03-3100</t>
  </si>
  <si>
    <t>Structrual Concrete</t>
  </si>
  <si>
    <t>03-3500</t>
  </si>
  <si>
    <t>Concrete Finishing</t>
  </si>
  <si>
    <t>03-4100</t>
  </si>
  <si>
    <t>Precast Structural Concrete</t>
  </si>
  <si>
    <t>03-4500</t>
  </si>
  <si>
    <t>Precast Architectural Concrete</t>
  </si>
  <si>
    <t>03-4713</t>
  </si>
  <si>
    <t>Tilt-Up Concrete</t>
  </si>
  <si>
    <t>03-4813</t>
  </si>
  <si>
    <t>Concrete Bollards</t>
  </si>
  <si>
    <t>03-5300</t>
  </si>
  <si>
    <t>Concrete Topping</t>
  </si>
  <si>
    <t>03-8100</t>
  </si>
  <si>
    <t>Concrete Cutting</t>
  </si>
  <si>
    <t>Unit Masonry-Brick</t>
  </si>
  <si>
    <t>04-2200</t>
  </si>
  <si>
    <t>Concrete Unit Masonry-Block</t>
  </si>
  <si>
    <t>04-4300</t>
  </si>
  <si>
    <t>Stone Masonry</t>
  </si>
  <si>
    <t>04-7200</t>
  </si>
  <si>
    <t>Cast Stone Masonry</t>
  </si>
  <si>
    <t>04-7300</t>
  </si>
  <si>
    <t>Manfactured Stone Masonry</t>
  </si>
  <si>
    <t>05-1100</t>
  </si>
  <si>
    <t>Miscellaneous Metals</t>
  </si>
  <si>
    <t>Structural Steel Framing</t>
  </si>
  <si>
    <t>05-2000</t>
  </si>
  <si>
    <t>Metal Joists</t>
  </si>
  <si>
    <t>05-3000</t>
  </si>
  <si>
    <t>Metal Decking</t>
  </si>
  <si>
    <t>05-4100</t>
  </si>
  <si>
    <t>Structural Metal Stud Framing</t>
  </si>
  <si>
    <t>05-5100</t>
  </si>
  <si>
    <t>Metal Stairs</t>
  </si>
  <si>
    <t>05-5133</t>
  </si>
  <si>
    <t>Metal Ladders</t>
  </si>
  <si>
    <t>05-5813</t>
  </si>
  <si>
    <t>Column Covers</t>
  </si>
  <si>
    <t>05-5823</t>
  </si>
  <si>
    <t>Formed Metal Guards</t>
  </si>
  <si>
    <t>05-5900</t>
  </si>
  <si>
    <t>Metal Specialties</t>
  </si>
  <si>
    <t>05-7000</t>
  </si>
  <si>
    <t>Decorative Metal</t>
  </si>
  <si>
    <t>06-1000</t>
  </si>
  <si>
    <t>Rough Carpentry</t>
  </si>
  <si>
    <t>Wood Framing</t>
  </si>
  <si>
    <t>06-1500</t>
  </si>
  <si>
    <t>Wood Decking</t>
  </si>
  <si>
    <t>06-2000</t>
  </si>
  <si>
    <t>Finish Carpentry</t>
  </si>
  <si>
    <t>06-4000</t>
  </si>
  <si>
    <t>Arch Millwork &amp; Woodwork</t>
  </si>
  <si>
    <t>07-1000</t>
  </si>
  <si>
    <t>Dampproofing and Waterproofing</t>
  </si>
  <si>
    <t>07-2100</t>
  </si>
  <si>
    <t>Thermal Insulation</t>
  </si>
  <si>
    <t>07-2400</t>
  </si>
  <si>
    <t>Ext Ins &amp; Finish Syst (EFIS)</t>
  </si>
  <si>
    <t>07-2500</t>
  </si>
  <si>
    <t>Weather Barriers</t>
  </si>
  <si>
    <t>07-2600</t>
  </si>
  <si>
    <t>Vapor Barrier</t>
  </si>
  <si>
    <t>07-4113</t>
  </si>
  <si>
    <t>Metal Roof Panels</t>
  </si>
  <si>
    <t>07-4219</t>
  </si>
  <si>
    <t>Insulated Metal Wall Panels</t>
  </si>
  <si>
    <t>07-4600</t>
  </si>
  <si>
    <t>Siding</t>
  </si>
  <si>
    <t>07-5300</t>
  </si>
  <si>
    <t>EPDM Roofing</t>
  </si>
  <si>
    <t>07-5400</t>
  </si>
  <si>
    <t>Thermoplastic Roofing (TPO)</t>
  </si>
  <si>
    <t>07-6113</t>
  </si>
  <si>
    <t>Stndng Seam Sheet Mtl Roofing</t>
  </si>
  <si>
    <t>07-7100</t>
  </si>
  <si>
    <t>Roof Specialties</t>
  </si>
  <si>
    <t>07-7233</t>
  </si>
  <si>
    <t>Roof Hatches</t>
  </si>
  <si>
    <t>07-7600</t>
  </si>
  <si>
    <t>Roof Pavers</t>
  </si>
  <si>
    <t>07-8100</t>
  </si>
  <si>
    <t>Applied Fireproofing</t>
  </si>
  <si>
    <t>07-8400</t>
  </si>
  <si>
    <t>Firestopping</t>
  </si>
  <si>
    <t>07-9200</t>
  </si>
  <si>
    <t>Joint Sealants</t>
  </si>
  <si>
    <t>07-9513</t>
  </si>
  <si>
    <t>Exp Jt Cover Asseblies</t>
  </si>
  <si>
    <t>08-1113</t>
  </si>
  <si>
    <t>Hollow Metal Door and Frames</t>
  </si>
  <si>
    <t>08-1216</t>
  </si>
  <si>
    <t>Aluminum Frames</t>
  </si>
  <si>
    <t>08-1429</t>
  </si>
  <si>
    <t>Prefinished Wood Doors</t>
  </si>
  <si>
    <t>Access Doors and Panels</t>
  </si>
  <si>
    <t>08-3213</t>
  </si>
  <si>
    <t>Sliding Alum-Frm Glass Doors</t>
  </si>
  <si>
    <t>08-3300</t>
  </si>
  <si>
    <t>Coiling Doors and Grilles</t>
  </si>
  <si>
    <t>08-3413</t>
  </si>
  <si>
    <t>Cold Storage Doors</t>
  </si>
  <si>
    <t>Overhead Doors</t>
  </si>
  <si>
    <t>08-3800</t>
  </si>
  <si>
    <t>Traffic Doors</t>
  </si>
  <si>
    <t>08-4229</t>
  </si>
  <si>
    <t>Automatic Entrances</t>
  </si>
  <si>
    <t>Storefronts</t>
  </si>
  <si>
    <t>08-4413</t>
  </si>
  <si>
    <t>Glazed Aluminum Curtain Walls</t>
  </si>
  <si>
    <t>08-5200</t>
  </si>
  <si>
    <t>Wood Windows</t>
  </si>
  <si>
    <t>Composite Windows</t>
  </si>
  <si>
    <t>08-6200</t>
  </si>
  <si>
    <t>Skylights</t>
  </si>
  <si>
    <t>Door Hardware</t>
  </si>
  <si>
    <t>08-7900</t>
  </si>
  <si>
    <t>Hardware Accessories</t>
  </si>
  <si>
    <t>08-8100</t>
  </si>
  <si>
    <t>Glass Glazing</t>
  </si>
  <si>
    <t>08-8126</t>
  </si>
  <si>
    <t>Interior Glass Glazing</t>
  </si>
  <si>
    <t>08-8300</t>
  </si>
  <si>
    <t>Mirrors</t>
  </si>
  <si>
    <t>08-8400</t>
  </si>
  <si>
    <t>Plastic Glazing</t>
  </si>
  <si>
    <t>08-8700</t>
  </si>
  <si>
    <t>Glazing Surface Films</t>
  </si>
  <si>
    <t>08-9100</t>
  </si>
  <si>
    <t>Louvers</t>
  </si>
  <si>
    <t>08-9500</t>
  </si>
  <si>
    <t>Vents</t>
  </si>
  <si>
    <t>09-0500</t>
  </si>
  <si>
    <t>Demolition for Finishes</t>
  </si>
  <si>
    <t>Gypsum Board Assemblies</t>
  </si>
  <si>
    <t>Non-Structural Metal Framing</t>
  </si>
  <si>
    <t>09-2713</t>
  </si>
  <si>
    <t>GFR Gypsum Fabrications</t>
  </si>
  <si>
    <t>09-3000</t>
  </si>
  <si>
    <t>Ceramic Tile</t>
  </si>
  <si>
    <t>Acoustical Ceilings</t>
  </si>
  <si>
    <t>09-5400</t>
  </si>
  <si>
    <t>Specialty Ceilings</t>
  </si>
  <si>
    <t>Floor Prep</t>
  </si>
  <si>
    <t>09-6200</t>
  </si>
  <si>
    <t>Specialty Flooring</t>
  </si>
  <si>
    <t>09-6433</t>
  </si>
  <si>
    <t>Laminated Wood Flooring</t>
  </si>
  <si>
    <t>09-6513</t>
  </si>
  <si>
    <t>Resilient Base</t>
  </si>
  <si>
    <t>09-6519</t>
  </si>
  <si>
    <t>Resilient Tile Flooring</t>
  </si>
  <si>
    <t>09-6536</t>
  </si>
  <si>
    <t>Static-Control Resilient Flr</t>
  </si>
  <si>
    <t>09-6600</t>
  </si>
  <si>
    <t>Terrazzo Flooring</t>
  </si>
  <si>
    <t>Carpeting</t>
  </si>
  <si>
    <t>09-7216</t>
  </si>
  <si>
    <t>Wall Coverings</t>
  </si>
  <si>
    <t>09-7700</t>
  </si>
  <si>
    <t>Special Wall Surfacing</t>
  </si>
  <si>
    <t>09-8000</t>
  </si>
  <si>
    <t>Acoustic Treatment</t>
  </si>
  <si>
    <t>Exterior Painting</t>
  </si>
  <si>
    <t>Interior Painting</t>
  </si>
  <si>
    <t>09-9300</t>
  </si>
  <si>
    <t>Staining &amp; Transparent Coating</t>
  </si>
  <si>
    <t>09-9600</t>
  </si>
  <si>
    <t>High-Performance Coatings</t>
  </si>
  <si>
    <t>09-9723</t>
  </si>
  <si>
    <t>Concrete and Masonry Coatings</t>
  </si>
  <si>
    <t>09-9735</t>
  </si>
  <si>
    <t>Dry Erase Coatings</t>
  </si>
  <si>
    <t>10-1116</t>
  </si>
  <si>
    <t>Markerboards</t>
  </si>
  <si>
    <t>10-1139</t>
  </si>
  <si>
    <t>Visual Display Rails</t>
  </si>
  <si>
    <t>10-1300</t>
  </si>
  <si>
    <t>Directories</t>
  </si>
  <si>
    <t>Signage</t>
  </si>
  <si>
    <t>10-2113</t>
  </si>
  <si>
    <t>Toilet Compartments</t>
  </si>
  <si>
    <t>10-2123</t>
  </si>
  <si>
    <t>Cubicle Curtains and Track</t>
  </si>
  <si>
    <t>10-2233</t>
  </si>
  <si>
    <t>Accordion Folding Partitions</t>
  </si>
  <si>
    <t>10-2613</t>
  </si>
  <si>
    <t>Corner Guards</t>
  </si>
  <si>
    <t>10-2616</t>
  </si>
  <si>
    <t>Bumper Guards</t>
  </si>
  <si>
    <t>10-2623</t>
  </si>
  <si>
    <t>Fiberglass Reinf Prot Covering</t>
  </si>
  <si>
    <t>Toilet Accessories</t>
  </si>
  <si>
    <t>Safety Specialties</t>
  </si>
  <si>
    <t>Knox Box</t>
  </si>
  <si>
    <t>10-4416</t>
  </si>
  <si>
    <t>Fire Extinguishers</t>
  </si>
  <si>
    <t>10-5100</t>
  </si>
  <si>
    <t>Lockers</t>
  </si>
  <si>
    <t>10-5523</t>
  </si>
  <si>
    <t>Mail Boxes</t>
  </si>
  <si>
    <t>10-7313</t>
  </si>
  <si>
    <t>Awnings</t>
  </si>
  <si>
    <t>10-7316</t>
  </si>
  <si>
    <t>Canopies</t>
  </si>
  <si>
    <t>10-7500</t>
  </si>
  <si>
    <t>Flagpoles</t>
  </si>
  <si>
    <t>10-8200</t>
  </si>
  <si>
    <t>Grilles and Screens</t>
  </si>
  <si>
    <t>11-1200</t>
  </si>
  <si>
    <t>Parking Control Equipment</t>
  </si>
  <si>
    <t>11-1300</t>
  </si>
  <si>
    <t>Loading Dock Equipment</t>
  </si>
  <si>
    <t>11-2100</t>
  </si>
  <si>
    <t>Window Blinds</t>
  </si>
  <si>
    <t>11-3500</t>
  </si>
  <si>
    <t>Specialty Casework</t>
  </si>
  <si>
    <t>11-4000</t>
  </si>
  <si>
    <t>Foodservice Equipment</t>
  </si>
  <si>
    <t>11-4813</t>
  </si>
  <si>
    <t>Entrance Floor Mats and Frames</t>
  </si>
  <si>
    <t>11-5100</t>
  </si>
  <si>
    <t>Office Furniture</t>
  </si>
  <si>
    <t>11-9000</t>
  </si>
  <si>
    <t>Other Furnishings</t>
  </si>
  <si>
    <t>12-2000</t>
  </si>
  <si>
    <t>Window Treatments</t>
  </si>
  <si>
    <t>Casework</t>
  </si>
  <si>
    <t>12-3500</t>
  </si>
  <si>
    <t>13-2100</t>
  </si>
  <si>
    <t>Controlled Environment Rooms</t>
  </si>
  <si>
    <t>13-2213</t>
  </si>
  <si>
    <t>Paint Booths</t>
  </si>
  <si>
    <t>13-2400</t>
  </si>
  <si>
    <t>Special Activity Rooms</t>
  </si>
  <si>
    <t>13-3400</t>
  </si>
  <si>
    <t>Fabricated Engr Structures</t>
  </si>
  <si>
    <t>13-4900</t>
  </si>
  <si>
    <t>Radiation Protection</t>
  </si>
  <si>
    <t>14-2000</t>
  </si>
  <si>
    <t>Elevators</t>
  </si>
  <si>
    <t>14-4200</t>
  </si>
  <si>
    <t>Wheelchair Lifts</t>
  </si>
  <si>
    <t>21-1100</t>
  </si>
  <si>
    <t>Facility Fire-Suppresion Water</t>
  </si>
  <si>
    <t>Fire-Suppression Standpipes</t>
  </si>
  <si>
    <t>21-1223</t>
  </si>
  <si>
    <t>Hose Valve Stations</t>
  </si>
  <si>
    <t>21-1313</t>
  </si>
  <si>
    <t>Wet-Pipe Sprinkler System</t>
  </si>
  <si>
    <t>21-1316</t>
  </si>
  <si>
    <t>Dry-Pipe Sprinkler Systems</t>
  </si>
  <si>
    <t>21-1319</t>
  </si>
  <si>
    <t>Preaction Sprinkler Systems</t>
  </si>
  <si>
    <t>21-2000</t>
  </si>
  <si>
    <t>Fire-Extinguishering System</t>
  </si>
  <si>
    <t>21-3000</t>
  </si>
  <si>
    <t>Fire Pumps</t>
  </si>
  <si>
    <t>21-4000</t>
  </si>
  <si>
    <t>Fire-Suppression Water Storage</t>
  </si>
  <si>
    <t>Plumbing Piping</t>
  </si>
  <si>
    <t>22-1116</t>
  </si>
  <si>
    <t>Domestic Water Piping</t>
  </si>
  <si>
    <t>22-1123</t>
  </si>
  <si>
    <t>Domestic Water Pumps</t>
  </si>
  <si>
    <t>22-1316</t>
  </si>
  <si>
    <t>Sanitary Waste and Vent Piping</t>
  </si>
  <si>
    <t>Grease Removal Devices</t>
  </si>
  <si>
    <t>22-1326</t>
  </si>
  <si>
    <t>Sanitary Waste Separators</t>
  </si>
  <si>
    <t>22-1416</t>
  </si>
  <si>
    <t>Roof Drains and Leaders</t>
  </si>
  <si>
    <t>22-1500</t>
  </si>
  <si>
    <t>Gen Serv Compress-Air Systems</t>
  </si>
  <si>
    <t>22-4513</t>
  </si>
  <si>
    <t>Emergency Showers</t>
  </si>
  <si>
    <t>22-4516</t>
  </si>
  <si>
    <t>Eyewash Equipment</t>
  </si>
  <si>
    <t>22-4713</t>
  </si>
  <si>
    <t>Drinking Fountains</t>
  </si>
  <si>
    <t>22-6000</t>
  </si>
  <si>
    <t>Medical Gas System</t>
  </si>
  <si>
    <t>23-0700</t>
  </si>
  <si>
    <t>HVAC Insulation</t>
  </si>
  <si>
    <t>23-1123</t>
  </si>
  <si>
    <t>Facility Natural-Gas Piping</t>
  </si>
  <si>
    <t>23-3000</t>
  </si>
  <si>
    <t>HVAC Air Distribution</t>
  </si>
  <si>
    <t>23-3439</t>
  </si>
  <si>
    <t>HVLS Fans</t>
  </si>
  <si>
    <t>23-3800</t>
  </si>
  <si>
    <t>Summer Ventilation</t>
  </si>
  <si>
    <t>23-5600</t>
  </si>
  <si>
    <t>Solar Energy Heating Equipment</t>
  </si>
  <si>
    <t>23-7000</t>
  </si>
  <si>
    <t>Central HVAC Equipment</t>
  </si>
  <si>
    <t>23-8000</t>
  </si>
  <si>
    <t>Decentralized HVAC Equipment</t>
  </si>
  <si>
    <t>25-5000</t>
  </si>
  <si>
    <t>Energy Management System</t>
  </si>
  <si>
    <t>26-1000</t>
  </si>
  <si>
    <t>Med-Volt Elect Distribution</t>
  </si>
  <si>
    <t>Low-Volt Elect Distribution</t>
  </si>
  <si>
    <t>26-3100</t>
  </si>
  <si>
    <t>Photovoltaic Collectors</t>
  </si>
  <si>
    <t>26-3200</t>
  </si>
  <si>
    <t>Packaged Generators</t>
  </si>
  <si>
    <t>26-3343</t>
  </si>
  <si>
    <t>Charging Equipment</t>
  </si>
  <si>
    <t>Interior Lighting</t>
  </si>
  <si>
    <t>26-5213</t>
  </si>
  <si>
    <t>Emergency and Exit Lighting</t>
  </si>
  <si>
    <t>26-5500</t>
  </si>
  <si>
    <t>Special Purpose Lighting</t>
  </si>
  <si>
    <t>26-5600</t>
  </si>
  <si>
    <t>Exterior Lighting</t>
  </si>
  <si>
    <t>27-1000</t>
  </si>
  <si>
    <t>Access Control</t>
  </si>
  <si>
    <t>27-3000</t>
  </si>
  <si>
    <t>Sec Det, Alarm &amp; Monitoring</t>
  </si>
  <si>
    <t>27-4000</t>
  </si>
  <si>
    <t>Fire Alarm &amp; Life Safety Syst</t>
  </si>
  <si>
    <t>28-2000</t>
  </si>
  <si>
    <t>Video Surveillance</t>
  </si>
  <si>
    <t>28-4000</t>
  </si>
  <si>
    <t>Life Safety</t>
  </si>
  <si>
    <t>28-4600</t>
  </si>
  <si>
    <t>Fire Detection and Alarm</t>
  </si>
  <si>
    <t>31-1100</t>
  </si>
  <si>
    <t>Clearing and Grubbing</t>
  </si>
  <si>
    <t>31-2213</t>
  </si>
  <si>
    <t>Rough Grading</t>
  </si>
  <si>
    <t>31-2219</t>
  </si>
  <si>
    <t>Finish Grading</t>
  </si>
  <si>
    <t>31-2316</t>
  </si>
  <si>
    <t>Excavation</t>
  </si>
  <si>
    <t>31-2319</t>
  </si>
  <si>
    <t>Dewatering</t>
  </si>
  <si>
    <t>31-2500</t>
  </si>
  <si>
    <t>Erosion Control (permanent)</t>
  </si>
  <si>
    <t>31-3200</t>
  </si>
  <si>
    <t>Soil Stabilization</t>
  </si>
  <si>
    <t>31-3219</t>
  </si>
  <si>
    <t>Geogrid Soil Stabilization</t>
  </si>
  <si>
    <t>31-3700</t>
  </si>
  <si>
    <t>Riprap</t>
  </si>
  <si>
    <t>31-4800</t>
  </si>
  <si>
    <t>Underpinning</t>
  </si>
  <si>
    <t>31-5000</t>
  </si>
  <si>
    <t>Excav Support and Protection</t>
  </si>
  <si>
    <t>31-6000</t>
  </si>
  <si>
    <t>Special Foundations &amp; Load Bea</t>
  </si>
  <si>
    <t>31-6200</t>
  </si>
  <si>
    <t>Driven Piles</t>
  </si>
  <si>
    <t>31-6613</t>
  </si>
  <si>
    <t>Aggregate Piles/Geopiers</t>
  </si>
  <si>
    <t>31-6615</t>
  </si>
  <si>
    <t>Helical Foundation Piles</t>
  </si>
  <si>
    <t>32-0523</t>
  </si>
  <si>
    <t>Cement and Concrete Exterior</t>
  </si>
  <si>
    <t>32-1123</t>
  </si>
  <si>
    <t>Aggregate Base Courses</t>
  </si>
  <si>
    <t>32-1216</t>
  </si>
  <si>
    <t>32-1236</t>
  </si>
  <si>
    <t>Seal Coating</t>
  </si>
  <si>
    <t>32-1313</t>
  </si>
  <si>
    <t>Concrete Paving</t>
  </si>
  <si>
    <t>32-1373</t>
  </si>
  <si>
    <t>Concrete Paving Joint Sealants</t>
  </si>
  <si>
    <t>32-1500</t>
  </si>
  <si>
    <t>Aggregate Surfacing</t>
  </si>
  <si>
    <t>32-1613</t>
  </si>
  <si>
    <t>Curbs and Gutters</t>
  </si>
  <si>
    <t>32-1623</t>
  </si>
  <si>
    <t>Sidewalks</t>
  </si>
  <si>
    <t>32-1633</t>
  </si>
  <si>
    <t>Driveways</t>
  </si>
  <si>
    <t>32-1713</t>
  </si>
  <si>
    <t>Parking Bumpers</t>
  </si>
  <si>
    <t>Pavement Markings</t>
  </si>
  <si>
    <t>Chain Link Fences and Gates</t>
  </si>
  <si>
    <t>32-3213</t>
  </si>
  <si>
    <t>CIP Concrete Retaining Walls</t>
  </si>
  <si>
    <t>32-3300</t>
  </si>
  <si>
    <t>Site Furnishings</t>
  </si>
  <si>
    <t>32-3500</t>
  </si>
  <si>
    <t>Screening Devices</t>
  </si>
  <si>
    <t>32-3900</t>
  </si>
  <si>
    <t>Manufactured Site Specialties</t>
  </si>
  <si>
    <t>32-7000</t>
  </si>
  <si>
    <t>Wetlands</t>
  </si>
  <si>
    <t>32-8000</t>
  </si>
  <si>
    <t>Irrigation</t>
  </si>
  <si>
    <t>32-9000</t>
  </si>
  <si>
    <t>Planting</t>
  </si>
  <si>
    <t>33-0504</t>
  </si>
  <si>
    <t>Utility Relocations</t>
  </si>
  <si>
    <t>33-1000</t>
  </si>
  <si>
    <t>Water Utilities</t>
  </si>
  <si>
    <t>33-1413</t>
  </si>
  <si>
    <t>Public Water Utility Distrib</t>
  </si>
  <si>
    <t>33-3111</t>
  </si>
  <si>
    <t>Public Sanitary Sewerage</t>
  </si>
  <si>
    <t>33-3113</t>
  </si>
  <si>
    <t>Site Sanitary Sewerage</t>
  </si>
  <si>
    <t>33-3123</t>
  </si>
  <si>
    <t>Sanitary Sewerage Force Main</t>
  </si>
  <si>
    <t>33-3200</t>
  </si>
  <si>
    <t>Sanitary Sewerage Equip</t>
  </si>
  <si>
    <t>33-4000</t>
  </si>
  <si>
    <t>Stormwater Utilites</t>
  </si>
  <si>
    <t>33-4116</t>
  </si>
  <si>
    <t>Subsurface Drainage</t>
  </si>
  <si>
    <t>33-4200</t>
  </si>
  <si>
    <t>Stormwater Conveyance</t>
  </si>
  <si>
    <t>Stormwater Area Drains</t>
  </si>
  <si>
    <t>33-7119</t>
  </si>
  <si>
    <t>Elect Underground Ducts &amp; MHs</t>
  </si>
  <si>
    <t>34-1100</t>
  </si>
  <si>
    <t>Rail Tracks</t>
  </si>
  <si>
    <t>34-4100</t>
  </si>
  <si>
    <t>Road Signaling &amp; Control Equip</t>
  </si>
  <si>
    <t>34-7200</t>
  </si>
  <si>
    <t>Railway Construction</t>
  </si>
  <si>
    <t>50-1000</t>
  </si>
  <si>
    <t>Site Invest Rpt/Phase 1 Rpt</t>
  </si>
  <si>
    <t>50-1250</t>
  </si>
  <si>
    <t>Geotechnical Report</t>
  </si>
  <si>
    <t>50-2000</t>
  </si>
  <si>
    <t>Site Engineering</t>
  </si>
  <si>
    <t>50-2500</t>
  </si>
  <si>
    <t>Welands Studies</t>
  </si>
  <si>
    <t>50-3000</t>
  </si>
  <si>
    <t>Environmental Phase 2 Sudies</t>
  </si>
  <si>
    <t>50-3500</t>
  </si>
  <si>
    <t>Arch, Endged &amp; Threat Species</t>
  </si>
  <si>
    <t>50-4100</t>
  </si>
  <si>
    <t>Traffic Engineering Study</t>
  </si>
  <si>
    <t>50-4200</t>
  </si>
  <si>
    <t>Traffic Engineering Design</t>
  </si>
  <si>
    <t>50-4500</t>
  </si>
  <si>
    <t>Facility Engineering</t>
  </si>
  <si>
    <t>50-5000</t>
  </si>
  <si>
    <t>Structural Engineering</t>
  </si>
  <si>
    <t>50-5500</t>
  </si>
  <si>
    <t>HVAC Engineering</t>
  </si>
  <si>
    <t>50-6000</t>
  </si>
  <si>
    <t>Plumbing Engineering</t>
  </si>
  <si>
    <t>50-6500</t>
  </si>
  <si>
    <t>Electrical Engineering</t>
  </si>
  <si>
    <t>50-7000</t>
  </si>
  <si>
    <t>Fire Protection Enginerring</t>
  </si>
  <si>
    <t>50-7500</t>
  </si>
  <si>
    <t>FA/Security System Eng</t>
  </si>
  <si>
    <t>50-8000</t>
  </si>
  <si>
    <t>Specialty Engineering</t>
  </si>
  <si>
    <t>50-8500</t>
  </si>
  <si>
    <t>Miscellaneous Engineering</t>
  </si>
  <si>
    <t>50-9100</t>
  </si>
  <si>
    <t>ALTA Survey</t>
  </si>
  <si>
    <t>50-9200</t>
  </si>
  <si>
    <t>51-1000</t>
  </si>
  <si>
    <t>Space Planning</t>
  </si>
  <si>
    <t>52-2000</t>
  </si>
  <si>
    <t>Architectural Services</t>
  </si>
  <si>
    <t>52-2500</t>
  </si>
  <si>
    <t>Schematic Design</t>
  </si>
  <si>
    <t>52-3000</t>
  </si>
  <si>
    <t>Design Development</t>
  </si>
  <si>
    <t>52-3500</t>
  </si>
  <si>
    <t>CD Review</t>
  </si>
  <si>
    <t>52-4000</t>
  </si>
  <si>
    <t>Construction Documents</t>
  </si>
  <si>
    <t>52-4013</t>
  </si>
  <si>
    <t>Construction Administration</t>
  </si>
  <si>
    <t>52-4500</t>
  </si>
  <si>
    <t>White Box Design</t>
  </si>
  <si>
    <t>Exterior Landscape Design</t>
  </si>
  <si>
    <t>52-7000</t>
  </si>
  <si>
    <t>Consultants</t>
  </si>
  <si>
    <t>52-8000</t>
  </si>
  <si>
    <t>LEED Commissioning</t>
  </si>
  <si>
    <t>53-0500</t>
  </si>
  <si>
    <t>Land (Easements)</t>
  </si>
  <si>
    <t>53-6000</t>
  </si>
  <si>
    <t>Development Permits</t>
  </si>
  <si>
    <t>53-7000</t>
  </si>
  <si>
    <t>Impact Fees</t>
  </si>
  <si>
    <t>53-7010</t>
  </si>
  <si>
    <t>Impact Fees - Sanitary</t>
  </si>
  <si>
    <t>53-7020</t>
  </si>
  <si>
    <t>Impact Fees - Water</t>
  </si>
  <si>
    <t>53-9000</t>
  </si>
  <si>
    <t>Zoning Legal Fees</t>
  </si>
  <si>
    <t>54-0500</t>
  </si>
  <si>
    <t>Commissions</t>
  </si>
  <si>
    <t>54-2000</t>
  </si>
  <si>
    <t>Referral Commissions</t>
  </si>
  <si>
    <t>55-0050</t>
  </si>
  <si>
    <t>55-0099</t>
  </si>
  <si>
    <t>Unallocated Costs</t>
  </si>
  <si>
    <t>55-0100</t>
  </si>
  <si>
    <t>55-0500</t>
  </si>
  <si>
    <t>Contractor Fee</t>
  </si>
  <si>
    <t>Company</t>
  </si>
  <si>
    <t>Email Sent? Y/N</t>
  </si>
  <si>
    <t>Phone Call Follow Up? Y/N</t>
  </si>
  <si>
    <t>Bid Received? Y/N</t>
  </si>
  <si>
    <t>Email</t>
  </si>
  <si>
    <t>Cell</t>
  </si>
  <si>
    <t>Price</t>
  </si>
  <si>
    <t>Scope Includes?</t>
  </si>
  <si>
    <t>14 Conveying Equipment</t>
  </si>
  <si>
    <t>LF</t>
  </si>
  <si>
    <t>Travel</t>
  </si>
  <si>
    <t>Square Feet</t>
  </si>
  <si>
    <t>CC Concrete</t>
  </si>
  <si>
    <t>W.E. Beaty INC</t>
  </si>
  <si>
    <t>Custom Concrete</t>
  </si>
  <si>
    <t>Karns INC</t>
  </si>
  <si>
    <t>Trace Construction</t>
  </si>
  <si>
    <t>CEP Concrete Construction</t>
  </si>
  <si>
    <t>M&amp;C Concrete</t>
  </si>
  <si>
    <t>Weber Concrete Construction</t>
  </si>
  <si>
    <t>Torrez Concrete</t>
  </si>
  <si>
    <t>Merrit Contracting INC</t>
  </si>
  <si>
    <t>B.L. Brown</t>
  </si>
  <si>
    <t>Precision Estimators LLC</t>
  </si>
  <si>
    <t>G Tech Construction</t>
  </si>
  <si>
    <t>Premier Underground</t>
  </si>
  <si>
    <t>Filson Earthwork</t>
  </si>
  <si>
    <t>Gradex INC</t>
  </si>
  <si>
    <t>Poindexter Excavating</t>
  </si>
  <si>
    <t>Millennium Contractors</t>
  </si>
  <si>
    <t>Baumgartner &amp; Company LLC</t>
  </si>
  <si>
    <t>Rudig Paving</t>
  </si>
  <si>
    <t>Globe Asphalt</t>
  </si>
  <si>
    <t>EA Outdoor Services LLC</t>
  </si>
  <si>
    <t>W.E. Simmons &amp; Sons Asphalt Paving</t>
  </si>
  <si>
    <t>ACE Paving LLC</t>
  </si>
  <si>
    <t>Delello &amp; Sons Asphalt Paving</t>
  </si>
  <si>
    <t>Howard Companies</t>
  </si>
  <si>
    <t>Grady Brothers</t>
  </si>
  <si>
    <t>Asphalt</t>
  </si>
  <si>
    <t>Goodin Ground</t>
  </si>
  <si>
    <t>M.G. Landscape</t>
  </si>
  <si>
    <t>Solstice Landscape</t>
  </si>
  <si>
    <t>Hittle Landscaping</t>
  </si>
  <si>
    <t>Ski Landscaping</t>
  </si>
  <si>
    <t>Midwest Landscaping Industries</t>
  </si>
  <si>
    <t>Jay-Crew Landscape</t>
  </si>
  <si>
    <t>Retain It Landscaping</t>
  </si>
  <si>
    <t>Mainscape Fishers</t>
  </si>
  <si>
    <t>Komplete Landscape</t>
  </si>
  <si>
    <t>Landscape</t>
  </si>
  <si>
    <t>Fite</t>
  </si>
  <si>
    <t>Justin Dorsey</t>
  </si>
  <si>
    <t>Mission Mechanical</t>
  </si>
  <si>
    <t>Real Mechanical</t>
  </si>
  <si>
    <t>Bell Plumbing</t>
  </si>
  <si>
    <t>Godby</t>
  </si>
  <si>
    <t>Gordon Plumbing</t>
  </si>
  <si>
    <t>TPC Mechanical</t>
  </si>
  <si>
    <t>Greiner Brothers Inc.</t>
  </si>
  <si>
    <t>AirCon</t>
  </si>
  <si>
    <t>Total Mechanical LLC</t>
  </si>
  <si>
    <t>Ideal Heating</t>
  </si>
  <si>
    <t>Kindred Excavating</t>
  </si>
  <si>
    <t xml:space="preserve">Utilities </t>
  </si>
  <si>
    <t>Earthwork</t>
  </si>
  <si>
    <t>Concrete</t>
  </si>
  <si>
    <t xml:space="preserve">Bid Decision </t>
  </si>
  <si>
    <t>Undecided</t>
  </si>
  <si>
    <t>Bidding</t>
  </si>
  <si>
    <t>McCurdy Mechanical</t>
  </si>
  <si>
    <t>Not Bidding</t>
  </si>
  <si>
    <t>Mechanical Contracting Services</t>
  </si>
  <si>
    <t>C Weber</t>
  </si>
  <si>
    <t>cweber@ccconcrete.net</t>
  </si>
  <si>
    <t>317-450-3317</t>
  </si>
  <si>
    <t>N/A</t>
  </si>
  <si>
    <t>Clayton Karns</t>
  </si>
  <si>
    <t>clay.karns@karnsinc.com</t>
  </si>
  <si>
    <t>317-872-2529</t>
  </si>
  <si>
    <t>Bryan Ness</t>
  </si>
  <si>
    <t>317-767-1439</t>
  </si>
  <si>
    <t>bryann@customconcrete.com</t>
  </si>
  <si>
    <t>Caleb Shetterley</t>
  </si>
  <si>
    <t>cshetterley@traceconstruction.net</t>
  </si>
  <si>
    <t>765-617-3534 / 317-362-0119 ext. 2003</t>
  </si>
  <si>
    <t>Bill Clemons</t>
  </si>
  <si>
    <t>bill@cepconcrete.com</t>
  </si>
  <si>
    <t>317-534-8595</t>
  </si>
  <si>
    <t>Tyler Sizelove</t>
  </si>
  <si>
    <t>tsizelove@mc-concrete.com</t>
  </si>
  <si>
    <t>765-661-2482</t>
  </si>
  <si>
    <t>Randy Fuller</t>
  </si>
  <si>
    <t>317-447-2851</t>
  </si>
  <si>
    <t>randyf@weberconcrete.com</t>
  </si>
  <si>
    <t>Torrez</t>
  </si>
  <si>
    <t>godlytorrez@gmail.com</t>
  </si>
  <si>
    <t>317-993-8770</t>
  </si>
  <si>
    <t>No</t>
  </si>
  <si>
    <t>Laura Meyer</t>
  </si>
  <si>
    <t>estimating@blbrowninc.com</t>
  </si>
  <si>
    <t>765-778-4120</t>
  </si>
  <si>
    <t>317-750-8402</t>
  </si>
  <si>
    <t>Jake Luther</t>
  </si>
  <si>
    <t>765-318-0922</t>
  </si>
  <si>
    <t>bids@precisionestimations.com</t>
  </si>
  <si>
    <t>Irv Gianneschi</t>
  </si>
  <si>
    <t>irv.g@gtechconstructionservices.com</t>
  </si>
  <si>
    <t>317-727-0182</t>
  </si>
  <si>
    <t>Lindsay McKnight</t>
  </si>
  <si>
    <t>cmcknight@premierundergroundinc.com</t>
  </si>
  <si>
    <t>317-473-9078 / 765-437-4842</t>
  </si>
  <si>
    <t>Aaron Hughes</t>
  </si>
  <si>
    <t>aaronhughes.filson@comcast.net</t>
  </si>
  <si>
    <t>317-774-3180</t>
  </si>
  <si>
    <t>No Name</t>
  </si>
  <si>
    <t>estimating@gradexing.com</t>
  </si>
  <si>
    <t>317-573-3970</t>
  </si>
  <si>
    <t>Brett Fulk</t>
  </si>
  <si>
    <t>bfulk@poindexterexcavating.com</t>
  </si>
  <si>
    <t>317-823-6837</t>
  </si>
  <si>
    <t>Peter Springsteen</t>
  </si>
  <si>
    <t>pspringsteen@mcontractors.com</t>
  </si>
  <si>
    <t>317-780-0109 / 317-538-8034</t>
  </si>
  <si>
    <t>Joe Thompson</t>
  </si>
  <si>
    <t>joet@fitellc.com</t>
  </si>
  <si>
    <t>317-515-7383</t>
  </si>
  <si>
    <t>Tom Tinkle</t>
  </si>
  <si>
    <t>tom@justindorseyplumbing.com</t>
  </si>
  <si>
    <t>317-745-4830</t>
  </si>
  <si>
    <t>Jon</t>
  </si>
  <si>
    <t>jon@missionmechanical.com</t>
  </si>
  <si>
    <t>317-350-0188</t>
  </si>
  <si>
    <t>Dave McCurdy</t>
  </si>
  <si>
    <t>dave@mccurdymech.com</t>
  </si>
  <si>
    <t>317-556-4516</t>
  </si>
  <si>
    <t>Mel Lamb</t>
  </si>
  <si>
    <t>mlamb@realmechanical.com</t>
  </si>
  <si>
    <t>317-819-3036</t>
  </si>
  <si>
    <t>Mitchel Bell</t>
  </si>
  <si>
    <t>bell@bellplumbingservice.com</t>
  </si>
  <si>
    <t>317-886-7220</t>
  </si>
  <si>
    <t>Kevin Greisl</t>
  </si>
  <si>
    <t>kgreisl@godbyhpe.com</t>
  </si>
  <si>
    <t>317-471-8700</t>
  </si>
  <si>
    <t>Ben Miller</t>
  </si>
  <si>
    <t>ben.miller@gordonplumbing.com</t>
  </si>
  <si>
    <t>317-845-1805 ext. 154</t>
  </si>
  <si>
    <t>Jeff Rowe</t>
  </si>
  <si>
    <t>jrowe@tpcmech.com</t>
  </si>
  <si>
    <t>317-332-3526</t>
  </si>
  <si>
    <t>Paul Howard</t>
  </si>
  <si>
    <t>phoward@greinerbrothers.com</t>
  </si>
  <si>
    <t>317-356-0926</t>
  </si>
  <si>
    <t>Duane Alfrey</t>
  </si>
  <si>
    <t>duane@mcs-db.com</t>
  </si>
  <si>
    <t>765-620-8576</t>
  </si>
  <si>
    <t>Fred Nichols</t>
  </si>
  <si>
    <t>fnichols@airconengr.com</t>
  </si>
  <si>
    <t>317-842-6292</t>
  </si>
  <si>
    <t>Cordell McCloud</t>
  </si>
  <si>
    <t>cordellm@fitellc.com</t>
  </si>
  <si>
    <t>317-271-5400</t>
  </si>
  <si>
    <t>Mel Lamp</t>
  </si>
  <si>
    <t>Josh Bilbrey</t>
  </si>
  <si>
    <t>jbilbrey@godbyhpe.com</t>
  </si>
  <si>
    <t>317-410-8219</t>
  </si>
  <si>
    <t>Larry Phillips</t>
  </si>
  <si>
    <t>larry@tpcmech.com</t>
  </si>
  <si>
    <t>317-846-4768</t>
  </si>
  <si>
    <t>Josh Scroggins</t>
  </si>
  <si>
    <t>josh@mcs-db.com</t>
  </si>
  <si>
    <t>317-773-7370</t>
  </si>
  <si>
    <t>David Lakes</t>
  </si>
  <si>
    <t>wlmoore@tmimechanical.com</t>
  </si>
  <si>
    <t>317-535-7109</t>
  </si>
  <si>
    <t>Daniel Ball</t>
  </si>
  <si>
    <t>dan@idealac.net</t>
  </si>
  <si>
    <t>317-634-8151</t>
  </si>
  <si>
    <t>Jason Skwarcan</t>
  </si>
  <si>
    <t>jskwarcan@baumgartnerasphalt.com</t>
  </si>
  <si>
    <t>317-296-7225 / 765-480-2792</t>
  </si>
  <si>
    <t>Joel Mendenhall</t>
  </si>
  <si>
    <t>jmendenhall@rudigpaving.com</t>
  </si>
  <si>
    <t>765-551-2058</t>
  </si>
  <si>
    <t>Reid Schwinn</t>
  </si>
  <si>
    <t>rschwinn@eaoutdoorservices.com</t>
  </si>
  <si>
    <t>317-894-6484</t>
  </si>
  <si>
    <t xml:space="preserve">Bill Simmons </t>
  </si>
  <si>
    <t>w.e.simmons2@gmail.com</t>
  </si>
  <si>
    <t>317-401-0111</t>
  </si>
  <si>
    <t>Justin Davis</t>
  </si>
  <si>
    <t>justin@acepavingllc.com</t>
  </si>
  <si>
    <t>317-446-8024</t>
  </si>
  <si>
    <t>Jody Wallace</t>
  </si>
  <si>
    <t>jwallace@delelloandsons.com</t>
  </si>
  <si>
    <t>317-867-4444</t>
  </si>
  <si>
    <t>Josh Dillon</t>
  </si>
  <si>
    <t>jdillon@howardcompanies.com</t>
  </si>
  <si>
    <t>317-363-5250</t>
  </si>
  <si>
    <t>Ben Cook</t>
  </si>
  <si>
    <t>ben@gradybros.com</t>
  </si>
  <si>
    <t>317-244-3343 / 317-413-2190</t>
  </si>
  <si>
    <t>Christina Stoner</t>
  </si>
  <si>
    <t>christina.stoner@goodinground.com</t>
  </si>
  <si>
    <t>317-318-2475</t>
  </si>
  <si>
    <t>317-861-6080</t>
  </si>
  <si>
    <t>Ray Kamstra</t>
  </si>
  <si>
    <t>ray.kamstra@gmail.com</t>
  </si>
  <si>
    <t>317-964-3990</t>
  </si>
  <si>
    <t>William Rood</t>
  </si>
  <si>
    <t>bill@hittlelandscape.com</t>
  </si>
  <si>
    <t>317-710-1239</t>
  </si>
  <si>
    <t>John Wolski</t>
  </si>
  <si>
    <t>jwolski@skilandscape.com</t>
  </si>
  <si>
    <t>317-897-5885</t>
  </si>
  <si>
    <t>Stephen S. Hastings</t>
  </si>
  <si>
    <t>shastings@mli-in.com</t>
  </si>
  <si>
    <t>317-672-3788 / 317-379-6980</t>
  </si>
  <si>
    <t>Tony Bruner</t>
  </si>
  <si>
    <t>tony@jaycrew.com</t>
  </si>
  <si>
    <t>812-320-4203</t>
  </si>
  <si>
    <t>Nick Hoover</t>
  </si>
  <si>
    <t>317-519-9812</t>
  </si>
  <si>
    <t>nickolas.hoover@retainitland.com</t>
  </si>
  <si>
    <t>Mike Godek</t>
  </si>
  <si>
    <t>mgodek@mainscape.com</t>
  </si>
  <si>
    <t>317-339-1908</t>
  </si>
  <si>
    <t>Kaisee Kucholick</t>
  </si>
  <si>
    <t>kkucholick@kompletelandscape.com</t>
  </si>
  <si>
    <t>317-669-3098</t>
  </si>
  <si>
    <t>estimating@blbrown.com</t>
  </si>
  <si>
    <t>Brian Wiley</t>
  </si>
  <si>
    <t>brian@merritcontracting.com</t>
  </si>
  <si>
    <t>765-483-0947</t>
  </si>
  <si>
    <t>brian@merrittcontracting.com</t>
  </si>
  <si>
    <t>estimating@gradexinc.com</t>
  </si>
  <si>
    <t>Yes</t>
  </si>
  <si>
    <t>Yes (spoke to)</t>
  </si>
  <si>
    <t>Yes (no answer)</t>
  </si>
  <si>
    <t>Allied Concrete Workers Inc</t>
  </si>
  <si>
    <t>Terry Curtis</t>
  </si>
  <si>
    <t>terry@alliedcwinc.com</t>
  </si>
  <si>
    <t>Would not bid previously without a grading plan.</t>
  </si>
  <si>
    <t>Apex Paving &amp; Excavating Inc</t>
  </si>
  <si>
    <t>Dan Strawser</t>
  </si>
  <si>
    <t>apexpaving@aol.com</t>
  </si>
  <si>
    <t>317-842-0701</t>
  </si>
  <si>
    <t>Previsouly Sent Pricing</t>
  </si>
  <si>
    <t>Received Drawings but never sent price</t>
  </si>
  <si>
    <t xml:space="preserve">Confirmed via email that they will bid this project </t>
  </si>
  <si>
    <t>"We are a poured wall contractor"</t>
  </si>
  <si>
    <t xml:space="preserve">317-356-0926 / </t>
  </si>
  <si>
    <t>Not sure if they will be able to bid this. Will let us know 1/9/25</t>
  </si>
  <si>
    <t>matt@mglandscapeand irrigation.com</t>
  </si>
  <si>
    <t xml:space="preserve">Matt </t>
  </si>
  <si>
    <t xml:space="preserve">Send matt drawings (sent) </t>
  </si>
  <si>
    <t>Will have pricing sent back soon, will also include a irrigation system</t>
  </si>
  <si>
    <t>Bryan is emailing Andrew questions</t>
  </si>
  <si>
    <t>unable to leave voicemail (inbox full)</t>
  </si>
  <si>
    <t>company on ski trip, will have price sent back end of next week</t>
  </si>
  <si>
    <t>unable to get in touch with via phone or email</t>
  </si>
  <si>
    <t>Tony Morales</t>
  </si>
  <si>
    <t>kindredexcavating@hotmail.com / tony@kindredexcavating.com</t>
  </si>
  <si>
    <t xml:space="preserve">Asphalt </t>
  </si>
  <si>
    <t>Brown Sprinkler</t>
  </si>
  <si>
    <t>Dalmatian Fire</t>
  </si>
  <si>
    <t>Integrity Fire Protection</t>
  </si>
  <si>
    <t>Performance Fire Protection</t>
  </si>
  <si>
    <t>RSQ Fire Protection</t>
  </si>
  <si>
    <t>Ryan Fire Protection</t>
  </si>
  <si>
    <t>Siemens</t>
  </si>
  <si>
    <t>Scott Schiesser</t>
  </si>
  <si>
    <t>317-775-7042</t>
  </si>
  <si>
    <t>Christian Alspach</t>
  </si>
  <si>
    <t>calspach@dalmatianfire.net</t>
  </si>
  <si>
    <t>John Nayder</t>
  </si>
  <si>
    <t>317-361-9770</t>
  </si>
  <si>
    <t>Joe Schott</t>
  </si>
  <si>
    <t>463-202-2887</t>
  </si>
  <si>
    <t>Corey Lee</t>
  </si>
  <si>
    <t>1-888-777-9672</t>
  </si>
  <si>
    <t>Alex Bell</t>
  </si>
  <si>
    <t>463-290-9222</t>
  </si>
  <si>
    <t>Christopher Lopez</t>
  </si>
  <si>
    <t>lopez.chris@siemens.com</t>
  </si>
  <si>
    <t>abell@ryanfp.com</t>
  </si>
  <si>
    <t>coreylee@rsqfp.com</t>
  </si>
  <si>
    <t>joe.s@performancefp.com</t>
  </si>
  <si>
    <t>john@integrityfirellc.com</t>
  </si>
  <si>
    <t>sschiesser@brownsprinkler.com</t>
  </si>
  <si>
    <t>463-239-6092</t>
  </si>
  <si>
    <t>office was closed, front desk took my name and message</t>
  </si>
  <si>
    <t xml:space="preserve">United Excavating </t>
  </si>
  <si>
    <t>Zach Bullock</t>
  </si>
  <si>
    <t>zack.bullock@unitedexcavating.com</t>
  </si>
  <si>
    <t>812-698-2535</t>
  </si>
  <si>
    <t>try and have sent back tomorrow 1/16/2025</t>
  </si>
  <si>
    <t>left voicemail 1/15</t>
  </si>
  <si>
    <t>following up in the morning, Alex handed the estimate off to another emploee to work on</t>
  </si>
  <si>
    <t>Will have bid sent back today 1/16</t>
  </si>
  <si>
    <t>Will have price sent back today 1/16</t>
  </si>
  <si>
    <t>Ben will have bid sent back today 1/16/</t>
  </si>
  <si>
    <t>Bid received, Brandon fwd the email to AC</t>
  </si>
  <si>
    <t>Use original bid, Tom confirmed no changes needed</t>
  </si>
  <si>
    <t>bid received 1/16</t>
  </si>
  <si>
    <t xml:space="preserve">Total Received: </t>
  </si>
  <si>
    <t>Brent Wright</t>
  </si>
  <si>
    <t>bwright@merrittcontracting.com</t>
  </si>
  <si>
    <t>317-646-3289 / 765-486-0947</t>
  </si>
  <si>
    <t xml:space="preserve">Total Asphalt </t>
  </si>
  <si>
    <t>Total Landscape</t>
  </si>
  <si>
    <t>Will have Bid sent back 1/17, worried about garage doors adding loads to units.</t>
  </si>
  <si>
    <t>Jon Arbuckle</t>
  </si>
  <si>
    <t>received bid 1/16</t>
  </si>
  <si>
    <t>Received bid 1/16</t>
  </si>
  <si>
    <t>Will have price back before or after lunch today</t>
  </si>
  <si>
    <t>Received 1/17</t>
  </si>
  <si>
    <t>left voicmail 1/17</t>
  </si>
  <si>
    <t>Estimate to be sent by Wed 22nd</t>
  </si>
  <si>
    <t>mhillen@Webeatyinc.com</t>
  </si>
  <si>
    <t>317-502-1331</t>
  </si>
  <si>
    <t>Matt Hillen</t>
  </si>
  <si>
    <t>Left voicemail 1/17/2025</t>
  </si>
  <si>
    <t>Will need until the 20th-21st</t>
  </si>
  <si>
    <t>estimate to be sent today 1/17</t>
  </si>
  <si>
    <t>Not bidding</t>
  </si>
  <si>
    <t>Left voicemail 1/17.Not 100% sure if they will be bidding this project as of 1/8/25, will notifiy on building connected.</t>
  </si>
  <si>
    <t>Will have price sent back 1/17</t>
  </si>
  <si>
    <t>will have price sent back today 1/17</t>
  </si>
  <si>
    <t>price will be sent on the 20th</t>
  </si>
  <si>
    <t>refer to Earthwork #</t>
  </si>
  <si>
    <t xml:space="preserve">HVAC &amp; Plumbing </t>
  </si>
  <si>
    <t>Terry will have price sent back today</t>
  </si>
  <si>
    <t>Johnson's Hauling &amp; Excavating LLC</t>
  </si>
  <si>
    <t>Mark Pennington</t>
  </si>
  <si>
    <t>mpennington@globeasphalt.com</t>
  </si>
  <si>
    <t>317--714-8315 / 317-568-4344</t>
  </si>
  <si>
    <t xml:space="preserve">money is not in estimate for ROW, ACDC lines might not be big enough.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</si>
</sst>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&quot;Bid Date: &quot;mm/dd/yy;@"/>
    <numFmt numFmtId="165" formatCode="&quot;$&quot;#,##0"/>
    <numFmt numFmtId="166" formatCode="0.0"/>
    <numFmt numFmtId="167" formatCode="_(&quot;$&quot;* #,##0_);_(&quot;$&quot;* \(#,##0\);_(&quot;$&quot;* &quot;-&quot;??_);_(@_)"/>
    <numFmt numFmtId="168" formatCode="0.0%"/>
    <numFmt numFmtId="169" formatCode="_([$$-409]* #,##0.00_);_([$$-409]* \(#,##0.00\);_([$$-409]* &quot;-&quot;??_);_(@_)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mbria"/>
      <family val="1"/>
      <scheme val="major"/>
    </font>
    <font>
      <b/>
      <sz val="9"/>
      <color theme="1"/>
      <name val="Cambria"/>
      <family val="1"/>
      <scheme val="maj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1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sz val="9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9"/>
      <color rgb="FF0070C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mbria"/>
      <family val="1"/>
      <scheme val="major"/>
    </font>
    <font>
      <b/>
      <sz val="11"/>
      <color theme="1"/>
      <name val="Arial"/>
      <family val="2"/>
    </font>
    <font>
      <sz val="11"/>
      <name val="Arial"/>
      <family val="1"/>
    </font>
    <font>
      <b/>
      <u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</fills>
  <borders count="48">
    <border>
      <left/>
      <right/>
      <top/>
      <bottom/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ouble">
        <color auto="1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/>
      <top/>
      <bottom style="double">
        <color auto="1"/>
      </bottom>
      <diagonal/>
    </border>
    <border>
      <left/>
      <right style="medium">
        <color indexed="64"/>
      </right>
      <top/>
      <bottom style="double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44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4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9" fillId="0" borderId="0"/>
  </cellStyleXfs>
  <cellXfs count="324">
    <xf numFmtId="0" fontId="0" fillId="0" borderId="0" xfId="0"/>
    <xf numFmtId="0" fontId="6" fillId="0" borderId="0" xfId="0" applyFont="1" applyAlignment="1">
      <alignment horizontal="center"/>
    </xf>
    <xf numFmtId="0" fontId="6" fillId="0" borderId="0" xfId="0" applyFont="1"/>
    <xf numFmtId="0" fontId="5" fillId="0" borderId="2" xfId="3" applyBorder="1" applyAlignment="1">
      <alignment horizontal="center"/>
    </xf>
    <xf numFmtId="44" fontId="3" fillId="0" borderId="2" xfId="4" applyFont="1" applyBorder="1" applyAlignment="1">
      <alignment horizontal="center"/>
    </xf>
    <xf numFmtId="44" fontId="0" fillId="0" borderId="0" xfId="4" applyFont="1"/>
    <xf numFmtId="44" fontId="6" fillId="0" borderId="0" xfId="4" applyFont="1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44" fontId="3" fillId="0" borderId="0" xfId="4" applyFont="1" applyBorder="1" applyAlignment="1">
      <alignment horizontal="center"/>
    </xf>
    <xf numFmtId="0" fontId="7" fillId="0" borderId="0" xfId="3" applyFont="1" applyBorder="1"/>
    <xf numFmtId="0" fontId="3" fillId="0" borderId="7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0" borderId="6" xfId="0" applyBorder="1" applyAlignment="1">
      <alignment horizontal="center"/>
    </xf>
    <xf numFmtId="44" fontId="0" fillId="0" borderId="0" xfId="4" applyFont="1" applyBorder="1"/>
    <xf numFmtId="0" fontId="0" fillId="0" borderId="7" xfId="0" applyBorder="1"/>
    <xf numFmtId="0" fontId="12" fillId="0" borderId="6" xfId="0" applyFont="1" applyBorder="1" applyAlignment="1">
      <alignment horizontal="center"/>
    </xf>
    <xf numFmtId="44" fontId="10" fillId="0" borderId="0" xfId="4" applyFont="1" applyBorder="1"/>
    <xf numFmtId="0" fontId="6" fillId="0" borderId="7" xfId="0" applyFont="1" applyBorder="1"/>
    <xf numFmtId="0" fontId="6" fillId="0" borderId="6" xfId="0" applyFont="1" applyBorder="1" applyAlignment="1">
      <alignment horizontal="center"/>
    </xf>
    <xf numFmtId="44" fontId="6" fillId="0" borderId="0" xfId="4" applyFont="1" applyBorder="1" applyAlignment="1">
      <alignment horizontal="left"/>
    </xf>
    <xf numFmtId="44" fontId="10" fillId="0" borderId="0" xfId="4" applyFont="1" applyBorder="1" applyAlignment="1">
      <alignment horizontal="left"/>
    </xf>
    <xf numFmtId="44" fontId="6" fillId="0" borderId="0" xfId="4" applyFont="1" applyBorder="1"/>
    <xf numFmtId="44" fontId="10" fillId="0" borderId="0" xfId="4" applyFont="1" applyBorder="1" applyAlignment="1"/>
    <xf numFmtId="44" fontId="12" fillId="0" borderId="0" xfId="4" applyFont="1" applyBorder="1" applyAlignment="1"/>
    <xf numFmtId="0" fontId="11" fillId="2" borderId="12" xfId="0" applyFont="1" applyFill="1" applyBorder="1" applyAlignment="1">
      <alignment horizontal="center"/>
    </xf>
    <xf numFmtId="0" fontId="6" fillId="0" borderId="13" xfId="0" applyFont="1" applyBorder="1"/>
    <xf numFmtId="0" fontId="6" fillId="0" borderId="14" xfId="0" applyFont="1" applyBorder="1"/>
    <xf numFmtId="0" fontId="0" fillId="0" borderId="0" xfId="0" applyAlignment="1">
      <alignment horizontal="left" vertical="top"/>
    </xf>
    <xf numFmtId="0" fontId="11" fillId="0" borderId="7" xfId="0" applyFont="1" applyBorder="1" applyAlignment="1">
      <alignment horizontal="center"/>
    </xf>
    <xf numFmtId="0" fontId="0" fillId="0" borderId="0" xfId="0" applyAlignment="1">
      <alignment horizontal="center"/>
    </xf>
    <xf numFmtId="44" fontId="6" fillId="0" borderId="4" xfId="4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12" xfId="0" applyFont="1" applyBorder="1" applyAlignment="1">
      <alignment horizontal="center"/>
    </xf>
    <xf numFmtId="44" fontId="6" fillId="0" borderId="13" xfId="4" applyFont="1" applyBorder="1"/>
    <xf numFmtId="0" fontId="14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 wrapText="1"/>
    </xf>
    <xf numFmtId="44" fontId="13" fillId="2" borderId="13" xfId="4" applyFont="1" applyFill="1" applyBorder="1"/>
    <xf numFmtId="0" fontId="6" fillId="0" borderId="0" xfId="0" applyFont="1" applyAlignment="1">
      <alignment wrapText="1"/>
    </xf>
    <xf numFmtId="2" fontId="0" fillId="0" borderId="0" xfId="4" applyNumberFormat="1" applyFont="1"/>
    <xf numFmtId="2" fontId="0" fillId="0" borderId="0" xfId="0" applyNumberFormat="1"/>
    <xf numFmtId="9" fontId="0" fillId="0" borderId="0" xfId="5" applyFont="1" applyAlignment="1">
      <alignment horizontal="left" vertical="top"/>
    </xf>
    <xf numFmtId="44" fontId="0" fillId="0" borderId="0" xfId="0" applyNumberFormat="1"/>
    <xf numFmtId="0" fontId="15" fillId="4" borderId="0" xfId="0" applyFont="1" applyFill="1"/>
    <xf numFmtId="0" fontId="0" fillId="4" borderId="0" xfId="0" applyFill="1"/>
    <xf numFmtId="0" fontId="15" fillId="4" borderId="0" xfId="0" applyFont="1" applyFill="1" applyAlignment="1">
      <alignment horizontal="center"/>
    </xf>
    <xf numFmtId="0" fontId="16" fillId="4" borderId="0" xfId="0" applyFont="1" applyFill="1"/>
    <xf numFmtId="44" fontId="17" fillId="4" borderId="0" xfId="4" applyFont="1" applyFill="1"/>
    <xf numFmtId="14" fontId="15" fillId="4" borderId="0" xfId="0" applyNumberFormat="1" applyFont="1" applyFill="1"/>
    <xf numFmtId="0" fontId="17" fillId="4" borderId="0" xfId="0" applyFont="1" applyFill="1"/>
    <xf numFmtId="0" fontId="15" fillId="0" borderId="0" xfId="0" applyFont="1"/>
    <xf numFmtId="0" fontId="17" fillId="0" borderId="0" xfId="0" applyFont="1"/>
    <xf numFmtId="44" fontId="17" fillId="0" borderId="0" xfId="4" applyFont="1" applyFill="1"/>
    <xf numFmtId="0" fontId="15" fillId="4" borderId="15" xfId="0" applyFont="1" applyFill="1" applyBorder="1"/>
    <xf numFmtId="0" fontId="15" fillId="4" borderId="3" xfId="0" applyFont="1" applyFill="1" applyBorder="1"/>
    <xf numFmtId="0" fontId="15" fillId="4" borderId="5" xfId="0" applyFont="1" applyFill="1" applyBorder="1" applyAlignment="1">
      <alignment horizontal="center"/>
    </xf>
    <xf numFmtId="0" fontId="15" fillId="4" borderId="4" xfId="0" applyFont="1" applyFill="1" applyBorder="1" applyAlignment="1">
      <alignment horizontal="center"/>
    </xf>
    <xf numFmtId="0" fontId="15" fillId="4" borderId="19" xfId="0" applyFont="1" applyFill="1" applyBorder="1"/>
    <xf numFmtId="0" fontId="15" fillId="4" borderId="6" xfId="0" applyFont="1" applyFill="1" applyBorder="1"/>
    <xf numFmtId="0" fontId="15" fillId="4" borderId="7" xfId="0" applyFont="1" applyFill="1" applyBorder="1"/>
    <xf numFmtId="0" fontId="15" fillId="4" borderId="7" xfId="0" applyFont="1" applyFill="1" applyBorder="1" applyAlignment="1">
      <alignment horizontal="center"/>
    </xf>
    <xf numFmtId="0" fontId="15" fillId="4" borderId="6" xfId="0" applyFont="1" applyFill="1" applyBorder="1" applyAlignment="1">
      <alignment horizontal="center"/>
    </xf>
    <xf numFmtId="0" fontId="16" fillId="4" borderId="0" xfId="0" applyFont="1" applyFill="1" applyAlignment="1">
      <alignment horizontal="center"/>
    </xf>
    <xf numFmtId="0" fontId="18" fillId="4" borderId="6" xfId="0" applyFont="1" applyFill="1" applyBorder="1" applyAlignment="1">
      <alignment horizontal="center"/>
    </xf>
    <xf numFmtId="44" fontId="16" fillId="4" borderId="6" xfId="4" applyFont="1" applyFill="1" applyBorder="1"/>
    <xf numFmtId="0" fontId="20" fillId="0" borderId="22" xfId="0" applyFont="1" applyBorder="1"/>
    <xf numFmtId="0" fontId="20" fillId="0" borderId="23" xfId="0" applyFont="1" applyBorder="1"/>
    <xf numFmtId="0" fontId="20" fillId="0" borderId="24" xfId="0" applyFont="1" applyBorder="1"/>
    <xf numFmtId="0" fontId="20" fillId="0" borderId="24" xfId="0" applyFont="1" applyBorder="1" applyAlignment="1">
      <alignment horizontal="center"/>
    </xf>
    <xf numFmtId="165" fontId="0" fillId="0" borderId="24" xfId="0" applyNumberFormat="1" applyBorder="1"/>
    <xf numFmtId="3" fontId="20" fillId="0" borderId="25" xfId="0" applyNumberFormat="1" applyFont="1" applyBorder="1"/>
    <xf numFmtId="0" fontId="21" fillId="0" borderId="23" xfId="0" applyFont="1" applyBorder="1"/>
    <xf numFmtId="44" fontId="22" fillId="0" borderId="23" xfId="4" applyFont="1" applyBorder="1"/>
    <xf numFmtId="44" fontId="22" fillId="0" borderId="22" xfId="4" applyFont="1" applyBorder="1"/>
    <xf numFmtId="165" fontId="0" fillId="0" borderId="20" xfId="0" applyNumberFormat="1" applyBorder="1"/>
    <xf numFmtId="0" fontId="0" fillId="0" borderId="21" xfId="0" applyBorder="1"/>
    <xf numFmtId="0" fontId="0" fillId="0" borderId="21" xfId="0" applyBorder="1" applyAlignment="1">
      <alignment horizontal="left"/>
    </xf>
    <xf numFmtId="0" fontId="1" fillId="0" borderId="21" xfId="0" applyFont="1" applyBorder="1" applyAlignment="1">
      <alignment horizontal="right"/>
    </xf>
    <xf numFmtId="165" fontId="1" fillId="0" borderId="0" xfId="0" applyNumberFormat="1" applyFont="1"/>
    <xf numFmtId="165" fontId="0" fillId="0" borderId="0" xfId="0" applyNumberFormat="1"/>
    <xf numFmtId="0" fontId="0" fillId="0" borderId="0" xfId="0" applyAlignment="1">
      <alignment horizontal="left" indent="1"/>
    </xf>
    <xf numFmtId="44" fontId="22" fillId="0" borderId="22" xfId="4" applyFont="1" applyFill="1" applyBorder="1"/>
    <xf numFmtId="0" fontId="1" fillId="0" borderId="0" xfId="0" applyFont="1"/>
    <xf numFmtId="166" fontId="20" fillId="0" borderId="24" xfId="0" applyNumberFormat="1" applyFont="1" applyBorder="1"/>
    <xf numFmtId="0" fontId="0" fillId="0" borderId="19" xfId="0" applyBorder="1"/>
    <xf numFmtId="44" fontId="22" fillId="0" borderId="23" xfId="4" applyFont="1" applyFill="1" applyBorder="1"/>
    <xf numFmtId="0" fontId="26" fillId="0" borderId="21" xfId="0" applyFont="1" applyBorder="1"/>
    <xf numFmtId="0" fontId="20" fillId="7" borderId="22" xfId="0" applyFont="1" applyFill="1" applyBorder="1"/>
    <xf numFmtId="0" fontId="20" fillId="7" borderId="23" xfId="0" applyFont="1" applyFill="1" applyBorder="1"/>
    <xf numFmtId="0" fontId="20" fillId="7" borderId="24" xfId="0" applyFont="1" applyFill="1" applyBorder="1"/>
    <xf numFmtId="0" fontId="20" fillId="7" borderId="24" xfId="0" applyFont="1" applyFill="1" applyBorder="1" applyAlignment="1">
      <alignment horizontal="center"/>
    </xf>
    <xf numFmtId="165" fontId="0" fillId="7" borderId="24" xfId="0" applyNumberFormat="1" applyFill="1" applyBorder="1"/>
    <xf numFmtId="3" fontId="20" fillId="7" borderId="25" xfId="0" applyNumberFormat="1" applyFont="1" applyFill="1" applyBorder="1"/>
    <xf numFmtId="0" fontId="21" fillId="7" borderId="23" xfId="0" applyFont="1" applyFill="1" applyBorder="1"/>
    <xf numFmtId="44" fontId="22" fillId="7" borderId="23" xfId="4" applyFont="1" applyFill="1" applyBorder="1"/>
    <xf numFmtId="44" fontId="22" fillId="7" borderId="22" xfId="4" applyFont="1" applyFill="1" applyBorder="1"/>
    <xf numFmtId="165" fontId="0" fillId="7" borderId="20" xfId="0" applyNumberFormat="1" applyFill="1" applyBorder="1"/>
    <xf numFmtId="0" fontId="0" fillId="8" borderId="21" xfId="0" applyFill="1" applyBorder="1"/>
    <xf numFmtId="167" fontId="0" fillId="8" borderId="0" xfId="4" applyNumberFormat="1" applyFont="1" applyFill="1"/>
    <xf numFmtId="0" fontId="0" fillId="8" borderId="0" xfId="0" applyFill="1"/>
    <xf numFmtId="0" fontId="0" fillId="4" borderId="0" xfId="0" applyFill="1" applyAlignment="1">
      <alignment horizontal="center"/>
    </xf>
    <xf numFmtId="0" fontId="0" fillId="0" borderId="26" xfId="0" applyBorder="1"/>
    <xf numFmtId="165" fontId="0" fillId="0" borderId="26" xfId="0" applyNumberFormat="1" applyBorder="1"/>
    <xf numFmtId="165" fontId="0" fillId="0" borderId="27" xfId="0" applyNumberFormat="1" applyBorder="1"/>
    <xf numFmtId="0" fontId="0" fillId="0" borderId="15" xfId="0" applyBorder="1"/>
    <xf numFmtId="168" fontId="20" fillId="5" borderId="28" xfId="0" applyNumberFormat="1" applyFont="1" applyFill="1" applyBorder="1" applyAlignment="1">
      <alignment horizontal="center"/>
    </xf>
    <xf numFmtId="0" fontId="0" fillId="0" borderId="29" xfId="0" applyBorder="1"/>
    <xf numFmtId="165" fontId="0" fillId="4" borderId="0" xfId="0" applyNumberFormat="1" applyFill="1"/>
    <xf numFmtId="9" fontId="17" fillId="4" borderId="0" xfId="0" applyNumberFormat="1" applyFont="1" applyFill="1"/>
    <xf numFmtId="9" fontId="20" fillId="5" borderId="26" xfId="0" applyNumberFormat="1" applyFont="1" applyFill="1" applyBorder="1" applyAlignment="1">
      <alignment horizontal="center"/>
    </xf>
    <xf numFmtId="0" fontId="0" fillId="0" borderId="3" xfId="0" applyBorder="1"/>
    <xf numFmtId="0" fontId="0" fillId="0" borderId="6" xfId="0" applyBorder="1"/>
    <xf numFmtId="9" fontId="0" fillId="5" borderId="30" xfId="0" applyNumberFormat="1" applyFill="1" applyBorder="1" applyAlignment="1">
      <alignment horizontal="center"/>
    </xf>
    <xf numFmtId="165" fontId="21" fillId="0" borderId="27" xfId="0" applyNumberFormat="1" applyFont="1" applyBorder="1"/>
    <xf numFmtId="167" fontId="20" fillId="5" borderId="26" xfId="0" applyNumberFormat="1" applyFont="1" applyFill="1" applyBorder="1"/>
    <xf numFmtId="0" fontId="0" fillId="0" borderId="27" xfId="0" applyBorder="1" applyAlignment="1">
      <alignment horizontal="left"/>
    </xf>
    <xf numFmtId="0" fontId="0" fillId="0" borderId="31" xfId="0" applyBorder="1"/>
    <xf numFmtId="0" fontId="20" fillId="5" borderId="0" xfId="0" applyFont="1" applyFill="1"/>
    <xf numFmtId="0" fontId="0" fillId="0" borderId="27" xfId="0" applyBorder="1"/>
    <xf numFmtId="10" fontId="20" fillId="5" borderId="26" xfId="0" applyNumberFormat="1" applyFont="1" applyFill="1" applyBorder="1"/>
    <xf numFmtId="165" fontId="0" fillId="0" borderId="32" xfId="0" applyNumberFormat="1" applyBorder="1"/>
    <xf numFmtId="0" fontId="0" fillId="0" borderId="12" xfId="0" applyBorder="1"/>
    <xf numFmtId="165" fontId="0" fillId="0" borderId="33" xfId="0" applyNumberFormat="1" applyBorder="1"/>
    <xf numFmtId="0" fontId="0" fillId="0" borderId="34" xfId="0" applyBorder="1"/>
    <xf numFmtId="44" fontId="17" fillId="0" borderId="0" xfId="4" applyFont="1"/>
    <xf numFmtId="0" fontId="21" fillId="0" borderId="35" xfId="0" applyFont="1" applyBorder="1" applyAlignment="1">
      <alignment horizontal="center"/>
    </xf>
    <xf numFmtId="0" fontId="20" fillId="0" borderId="0" xfId="0" applyFont="1"/>
    <xf numFmtId="0" fontId="20" fillId="9" borderId="0" xfId="0" applyFont="1" applyFill="1"/>
    <xf numFmtId="167" fontId="0" fillId="0" borderId="0" xfId="0" applyNumberFormat="1"/>
    <xf numFmtId="1" fontId="20" fillId="0" borderId="0" xfId="0" applyNumberFormat="1" applyFont="1"/>
    <xf numFmtId="1" fontId="0" fillId="0" borderId="0" xfId="0" applyNumberFormat="1"/>
    <xf numFmtId="1" fontId="21" fillId="0" borderId="0" xfId="0" applyNumberFormat="1" applyFont="1"/>
    <xf numFmtId="0" fontId="0" fillId="10" borderId="0" xfId="0" applyFill="1"/>
    <xf numFmtId="0" fontId="0" fillId="0" borderId="0" xfId="0" applyAlignment="1">
      <alignment horizontal="left"/>
    </xf>
    <xf numFmtId="44" fontId="17" fillId="5" borderId="0" xfId="4" applyFont="1" applyFill="1"/>
    <xf numFmtId="167" fontId="21" fillId="0" borderId="0" xfId="5" applyNumberFormat="1" applyFont="1"/>
    <xf numFmtId="10" fontId="17" fillId="0" borderId="0" xfId="5" applyNumberFormat="1" applyFont="1"/>
    <xf numFmtId="10" fontId="17" fillId="0" borderId="0" xfId="4" applyNumberFormat="1" applyFont="1"/>
    <xf numFmtId="44" fontId="28" fillId="0" borderId="0" xfId="0" applyNumberFormat="1" applyFont="1" applyAlignment="1">
      <alignment horizontal="center"/>
    </xf>
    <xf numFmtId="0" fontId="20" fillId="0" borderId="36" xfId="0" applyFont="1" applyBorder="1"/>
    <xf numFmtId="0" fontId="14" fillId="0" borderId="3" xfId="0" applyFont="1" applyBorder="1" applyAlignment="1">
      <alignment horizontal="left" vertical="center"/>
    </xf>
    <xf numFmtId="44" fontId="6" fillId="0" borderId="7" xfId="4" applyFont="1" applyBorder="1"/>
    <xf numFmtId="0" fontId="6" fillId="0" borderId="0" xfId="0" applyFont="1" applyAlignment="1">
      <alignment horizontal="center" wrapText="1"/>
    </xf>
    <xf numFmtId="44" fontId="6" fillId="0" borderId="0" xfId="4" applyFont="1" applyBorder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center"/>
    </xf>
    <xf numFmtId="3" fontId="20" fillId="0" borderId="0" xfId="0" applyNumberFormat="1" applyFont="1"/>
    <xf numFmtId="0" fontId="21" fillId="0" borderId="0" xfId="0" applyFont="1"/>
    <xf numFmtId="44" fontId="22" fillId="0" borderId="0" xfId="4" applyFont="1" applyBorder="1"/>
    <xf numFmtId="0" fontId="0" fillId="0" borderId="0" xfId="0" applyAlignment="1">
      <alignment horizontal="left" indent="2"/>
    </xf>
    <xf numFmtId="0" fontId="0" fillId="6" borderId="0" xfId="0" applyFill="1"/>
    <xf numFmtId="0" fontId="1" fillId="0" borderId="0" xfId="0" applyFont="1" applyAlignment="1">
      <alignment horizontal="right"/>
    </xf>
    <xf numFmtId="0" fontId="24" fillId="0" borderId="0" xfId="0" applyFont="1"/>
    <xf numFmtId="0" fontId="24" fillId="0" borderId="0" xfId="0" applyFont="1" applyAlignment="1">
      <alignment horizontal="center"/>
    </xf>
    <xf numFmtId="3" fontId="24" fillId="0" borderId="0" xfId="0" applyNumberFormat="1" applyFont="1"/>
    <xf numFmtId="0" fontId="23" fillId="0" borderId="0" xfId="0" applyFont="1"/>
    <xf numFmtId="44" fontId="25" fillId="0" borderId="0" xfId="4" applyFont="1" applyBorder="1"/>
    <xf numFmtId="169" fontId="0" fillId="0" borderId="0" xfId="0" applyNumberFormat="1"/>
    <xf numFmtId="0" fontId="1" fillId="0" borderId="0" xfId="0" applyFont="1" applyAlignment="1">
      <alignment horizontal="center"/>
    </xf>
    <xf numFmtId="44" fontId="6" fillId="0" borderId="0" xfId="4" applyFont="1" applyBorder="1" applyAlignment="1"/>
    <xf numFmtId="0" fontId="0" fillId="11" borderId="21" xfId="0" applyFill="1" applyBorder="1"/>
    <xf numFmtId="0" fontId="1" fillId="11" borderId="21" xfId="0" applyFont="1" applyFill="1" applyBorder="1"/>
    <xf numFmtId="0" fontId="20" fillId="11" borderId="22" xfId="0" applyFont="1" applyFill="1" applyBorder="1"/>
    <xf numFmtId="0" fontId="20" fillId="11" borderId="23" xfId="0" applyFont="1" applyFill="1" applyBorder="1"/>
    <xf numFmtId="0" fontId="20" fillId="11" borderId="24" xfId="0" applyFont="1" applyFill="1" applyBorder="1"/>
    <xf numFmtId="0" fontId="20" fillId="11" borderId="24" xfId="0" applyFont="1" applyFill="1" applyBorder="1" applyAlignment="1">
      <alignment horizontal="center"/>
    </xf>
    <xf numFmtId="165" fontId="0" fillId="11" borderId="24" xfId="0" applyNumberFormat="1" applyFill="1" applyBorder="1"/>
    <xf numFmtId="3" fontId="20" fillId="11" borderId="25" xfId="0" applyNumberFormat="1" applyFont="1" applyFill="1" applyBorder="1"/>
    <xf numFmtId="0" fontId="21" fillId="11" borderId="23" xfId="0" applyFont="1" applyFill="1" applyBorder="1"/>
    <xf numFmtId="44" fontId="22" fillId="11" borderId="23" xfId="4" applyFont="1" applyFill="1" applyBorder="1"/>
    <xf numFmtId="44" fontId="22" fillId="11" borderId="22" xfId="4" applyFont="1" applyFill="1" applyBorder="1"/>
    <xf numFmtId="165" fontId="0" fillId="11" borderId="20" xfId="0" applyNumberFormat="1" applyFill="1" applyBorder="1"/>
    <xf numFmtId="165" fontId="0" fillId="11" borderId="0" xfId="0" applyNumberFormat="1" applyFill="1"/>
    <xf numFmtId="0" fontId="0" fillId="11" borderId="20" xfId="0" applyFill="1" applyBorder="1"/>
    <xf numFmtId="0" fontId="0" fillId="11" borderId="0" xfId="0" applyFill="1"/>
    <xf numFmtId="165" fontId="1" fillId="11" borderId="0" xfId="0" applyNumberFormat="1" applyFont="1" applyFill="1"/>
    <xf numFmtId="0" fontId="4" fillId="0" borderId="38" xfId="0" applyFont="1" applyBorder="1"/>
    <xf numFmtId="0" fontId="4" fillId="0" borderId="39" xfId="0" applyFont="1" applyBorder="1"/>
    <xf numFmtId="0" fontId="29" fillId="0" borderId="0" xfId="6"/>
    <xf numFmtId="0" fontId="30" fillId="4" borderId="0" xfId="0" applyFont="1" applyFill="1"/>
    <xf numFmtId="0" fontId="0" fillId="11" borderId="40" xfId="0" applyFill="1" applyBorder="1"/>
    <xf numFmtId="0" fontId="1" fillId="11" borderId="40" xfId="0" applyFont="1" applyFill="1" applyBorder="1"/>
    <xf numFmtId="0" fontId="19" fillId="11" borderId="40" xfId="0" applyFont="1" applyFill="1" applyBorder="1"/>
    <xf numFmtId="0" fontId="20" fillId="11" borderId="40" xfId="0" applyFont="1" applyFill="1" applyBorder="1"/>
    <xf numFmtId="0" fontId="0" fillId="11" borderId="26" xfId="0" applyFill="1" applyBorder="1"/>
    <xf numFmtId="0" fontId="0" fillId="0" borderId="40" xfId="0" applyBorder="1"/>
    <xf numFmtId="0" fontId="1" fillId="0" borderId="40" xfId="0" applyFont="1" applyBorder="1"/>
    <xf numFmtId="0" fontId="19" fillId="0" borderId="40" xfId="0" applyFont="1" applyBorder="1"/>
    <xf numFmtId="0" fontId="20" fillId="0" borderId="40" xfId="0" applyFont="1" applyBorder="1"/>
    <xf numFmtId="0" fontId="0" fillId="0" borderId="41" xfId="0" applyBorder="1"/>
    <xf numFmtId="0" fontId="1" fillId="0" borderId="41" xfId="0" applyFont="1" applyBorder="1"/>
    <xf numFmtId="0" fontId="19" fillId="0" borderId="41" xfId="0" applyFont="1" applyBorder="1"/>
    <xf numFmtId="0" fontId="20" fillId="0" borderId="41" xfId="0" applyFont="1" applyBorder="1"/>
    <xf numFmtId="0" fontId="0" fillId="0" borderId="42" xfId="0" applyBorder="1"/>
    <xf numFmtId="0" fontId="20" fillId="11" borderId="26" xfId="0" applyFont="1" applyFill="1" applyBorder="1"/>
    <xf numFmtId="0" fontId="20" fillId="11" borderId="26" xfId="0" applyFont="1" applyFill="1" applyBorder="1" applyAlignment="1">
      <alignment horizontal="center"/>
    </xf>
    <xf numFmtId="165" fontId="0" fillId="11" borderId="26" xfId="0" applyNumberFormat="1" applyFill="1" applyBorder="1"/>
    <xf numFmtId="3" fontId="20" fillId="11" borderId="26" xfId="0" applyNumberFormat="1" applyFont="1" applyFill="1" applyBorder="1"/>
    <xf numFmtId="0" fontId="21" fillId="11" borderId="26" xfId="0" applyFont="1" applyFill="1" applyBorder="1"/>
    <xf numFmtId="44" fontId="22" fillId="11" borderId="40" xfId="4" applyFont="1" applyFill="1" applyBorder="1"/>
    <xf numFmtId="165" fontId="0" fillId="11" borderId="40" xfId="0" applyNumberFormat="1" applyFill="1" applyBorder="1"/>
    <xf numFmtId="0" fontId="21" fillId="11" borderId="40" xfId="0" applyFont="1" applyFill="1" applyBorder="1"/>
    <xf numFmtId="0" fontId="20" fillId="0" borderId="26" xfId="0" applyFont="1" applyBorder="1"/>
    <xf numFmtId="0" fontId="20" fillId="0" borderId="26" xfId="0" applyFont="1" applyBorder="1" applyAlignment="1">
      <alignment horizontal="center"/>
    </xf>
    <xf numFmtId="3" fontId="20" fillId="0" borderId="26" xfId="0" applyNumberFormat="1" applyFont="1" applyBorder="1"/>
    <xf numFmtId="0" fontId="21" fillId="0" borderId="26" xfId="0" applyFont="1" applyBorder="1"/>
    <xf numFmtId="44" fontId="22" fillId="0" borderId="40" xfId="4" applyFont="1" applyBorder="1"/>
    <xf numFmtId="165" fontId="0" fillId="0" borderId="40" xfId="0" applyNumberFormat="1" applyBorder="1"/>
    <xf numFmtId="0" fontId="21" fillId="0" borderId="40" xfId="0" applyFont="1" applyBorder="1"/>
    <xf numFmtId="0" fontId="20" fillId="0" borderId="42" xfId="0" applyFont="1" applyBorder="1"/>
    <xf numFmtId="0" fontId="20" fillId="0" borderId="42" xfId="0" applyFont="1" applyBorder="1" applyAlignment="1">
      <alignment horizontal="center"/>
    </xf>
    <xf numFmtId="165" fontId="0" fillId="0" borderId="42" xfId="0" applyNumberFormat="1" applyBorder="1"/>
    <xf numFmtId="3" fontId="20" fillId="0" borderId="42" xfId="0" applyNumberFormat="1" applyFont="1" applyBorder="1"/>
    <xf numFmtId="0" fontId="21" fillId="0" borderId="42" xfId="0" applyFont="1" applyBorder="1"/>
    <xf numFmtId="44" fontId="22" fillId="0" borderId="41" xfId="4" applyFont="1" applyBorder="1"/>
    <xf numFmtId="165" fontId="0" fillId="0" borderId="41" xfId="0" applyNumberFormat="1" applyBorder="1"/>
    <xf numFmtId="0" fontId="21" fillId="0" borderId="41" xfId="0" applyFont="1" applyBorder="1"/>
    <xf numFmtId="0" fontId="23" fillId="11" borderId="40" xfId="0" applyFont="1" applyFill="1" applyBorder="1"/>
    <xf numFmtId="0" fontId="0" fillId="11" borderId="40" xfId="0" applyFill="1" applyBorder="1" applyAlignment="1">
      <alignment horizontal="left" indent="1"/>
    </xf>
    <xf numFmtId="0" fontId="0" fillId="11" borderId="26" xfId="0" applyFill="1" applyBorder="1" applyAlignment="1">
      <alignment horizontal="left" indent="1"/>
    </xf>
    <xf numFmtId="0" fontId="0" fillId="0" borderId="40" xfId="0" applyBorder="1" applyAlignment="1">
      <alignment horizontal="left" indent="1"/>
    </xf>
    <xf numFmtId="0" fontId="0" fillId="0" borderId="26" xfId="0" applyBorder="1" applyAlignment="1">
      <alignment horizontal="left" indent="1"/>
    </xf>
    <xf numFmtId="0" fontId="0" fillId="0" borderId="41" xfId="0" applyBorder="1" applyAlignment="1">
      <alignment horizontal="left" indent="1"/>
    </xf>
    <xf numFmtId="0" fontId="0" fillId="0" borderId="42" xfId="0" applyBorder="1" applyAlignment="1">
      <alignment horizontal="left" indent="1"/>
    </xf>
    <xf numFmtId="0" fontId="0" fillId="11" borderId="43" xfId="0" applyFill="1" applyBorder="1"/>
    <xf numFmtId="0" fontId="20" fillId="11" borderId="36" xfId="0" applyFont="1" applyFill="1" applyBorder="1"/>
    <xf numFmtId="0" fontId="0" fillId="0" borderId="44" xfId="0" applyBorder="1"/>
    <xf numFmtId="0" fontId="0" fillId="0" borderId="45" xfId="0" applyBorder="1"/>
    <xf numFmtId="0" fontId="1" fillId="11" borderId="33" xfId="0" applyFont="1" applyFill="1" applyBorder="1"/>
    <xf numFmtId="0" fontId="19" fillId="11" borderId="33" xfId="0" applyFont="1" applyFill="1" applyBorder="1"/>
    <xf numFmtId="0" fontId="0" fillId="0" borderId="26" xfId="0" applyBorder="1" applyAlignment="1">
      <alignment horizontal="left" vertical="center"/>
    </xf>
    <xf numFmtId="0" fontId="0" fillId="11" borderId="26" xfId="0" applyFill="1" applyBorder="1" applyAlignment="1">
      <alignment horizontal="left" vertical="center"/>
    </xf>
    <xf numFmtId="0" fontId="1" fillId="0" borderId="31" xfId="0" applyFont="1" applyBorder="1"/>
    <xf numFmtId="0" fontId="1" fillId="0" borderId="28" xfId="0" applyFont="1" applyBorder="1"/>
    <xf numFmtId="0" fontId="5" fillId="0" borderId="40" xfId="3" applyBorder="1"/>
    <xf numFmtId="0" fontId="5" fillId="0" borderId="41" xfId="3" applyBorder="1"/>
    <xf numFmtId="0" fontId="0" fillId="12" borderId="40" xfId="0" applyFill="1" applyBorder="1"/>
    <xf numFmtId="0" fontId="0" fillId="12" borderId="41" xfId="0" applyFill="1" applyBorder="1"/>
    <xf numFmtId="0" fontId="0" fillId="12" borderId="31" xfId="0" applyFill="1" applyBorder="1"/>
    <xf numFmtId="0" fontId="0" fillId="0" borderId="28" xfId="0" applyBorder="1"/>
    <xf numFmtId="0" fontId="0" fillId="3" borderId="41" xfId="0" applyFill="1" applyBorder="1"/>
    <xf numFmtId="0" fontId="0" fillId="3" borderId="40" xfId="0" applyFill="1" applyBorder="1"/>
    <xf numFmtId="0" fontId="30" fillId="4" borderId="0" xfId="0" applyFont="1" applyFill="1" applyAlignment="1">
      <alignment horizontal="center"/>
    </xf>
    <xf numFmtId="0" fontId="1" fillId="11" borderId="40" xfId="0" applyFont="1" applyFill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8" xfId="0" applyBorder="1" applyAlignment="1">
      <alignment horizontal="center"/>
    </xf>
    <xf numFmtId="0" fontId="23" fillId="11" borderId="40" xfId="0" applyFont="1" applyFill="1" applyBorder="1" applyAlignment="1">
      <alignment horizontal="center"/>
    </xf>
    <xf numFmtId="0" fontId="21" fillId="0" borderId="31" xfId="0" applyFont="1" applyBorder="1" applyAlignment="1">
      <alignment horizontal="center"/>
    </xf>
    <xf numFmtId="0" fontId="21" fillId="0" borderId="28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23" fillId="0" borderId="31" xfId="0" applyFont="1" applyBorder="1" applyAlignment="1">
      <alignment horizontal="center"/>
    </xf>
    <xf numFmtId="0" fontId="23" fillId="0" borderId="28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5" fillId="3" borderId="41" xfId="3" applyFill="1" applyBorder="1"/>
    <xf numFmtId="0" fontId="20" fillId="3" borderId="41" xfId="0" applyFont="1" applyFill="1" applyBorder="1"/>
    <xf numFmtId="0" fontId="0" fillId="3" borderId="26" xfId="0" applyFill="1" applyBorder="1"/>
    <xf numFmtId="0" fontId="0" fillId="3" borderId="42" xfId="0" applyFill="1" applyBorder="1"/>
    <xf numFmtId="0" fontId="0" fillId="3" borderId="31" xfId="0" applyFill="1" applyBorder="1" applyAlignment="1">
      <alignment horizontal="center"/>
    </xf>
    <xf numFmtId="0" fontId="23" fillId="0" borderId="42" xfId="0" applyFont="1" applyBorder="1" applyAlignment="1">
      <alignment horizontal="center"/>
    </xf>
    <xf numFmtId="0" fontId="0" fillId="0" borderId="46" xfId="0" applyBorder="1" applyAlignment="1">
      <alignment horizontal="center"/>
    </xf>
    <xf numFmtId="0" fontId="23" fillId="11" borderId="16" xfId="0" applyFont="1" applyFill="1" applyBorder="1" applyAlignment="1">
      <alignment horizontal="center"/>
    </xf>
    <xf numFmtId="0" fontId="23" fillId="11" borderId="18" xfId="0" applyFont="1" applyFill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11" borderId="16" xfId="0" applyFont="1" applyFill="1" applyBorder="1" applyAlignment="1">
      <alignment horizontal="center"/>
    </xf>
    <xf numFmtId="0" fontId="1" fillId="11" borderId="18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3" borderId="42" xfId="0" applyFont="1" applyFill="1" applyBorder="1" applyAlignment="1">
      <alignment horizontal="center"/>
    </xf>
    <xf numFmtId="0" fontId="23" fillId="0" borderId="47" xfId="0" applyFont="1" applyBorder="1" applyAlignment="1">
      <alignment horizontal="center"/>
    </xf>
    <xf numFmtId="0" fontId="23" fillId="0" borderId="46" xfId="0" applyFont="1" applyBorder="1" applyAlignment="1">
      <alignment horizontal="center"/>
    </xf>
    <xf numFmtId="44" fontId="0" fillId="0" borderId="41" xfId="4" applyFont="1" applyBorder="1" applyAlignment="1">
      <alignment horizontal="left" indent="2"/>
    </xf>
    <xf numFmtId="44" fontId="0" fillId="0" borderId="40" xfId="4" applyFont="1" applyBorder="1" applyAlignment="1">
      <alignment horizontal="left" indent="2"/>
    </xf>
    <xf numFmtId="44" fontId="30" fillId="4" borderId="0" xfId="4" applyFont="1" applyFill="1"/>
    <xf numFmtId="44" fontId="0" fillId="11" borderId="40" xfId="4" applyFont="1" applyFill="1" applyBorder="1"/>
    <xf numFmtId="44" fontId="0" fillId="0" borderId="40" xfId="4" applyFont="1" applyBorder="1"/>
    <xf numFmtId="44" fontId="0" fillId="0" borderId="41" xfId="4" applyFont="1" applyBorder="1"/>
    <xf numFmtId="44" fontId="0" fillId="11" borderId="40" xfId="4" applyFont="1" applyFill="1" applyBorder="1" applyAlignment="1">
      <alignment horizontal="left" indent="2"/>
    </xf>
    <xf numFmtId="44" fontId="0" fillId="3" borderId="41" xfId="4" applyFont="1" applyFill="1" applyBorder="1"/>
    <xf numFmtId="44" fontId="0" fillId="11" borderId="40" xfId="4" applyFont="1" applyFill="1" applyBorder="1" applyAlignment="1">
      <alignment horizontal="left" indent="1"/>
    </xf>
    <xf numFmtId="44" fontId="0" fillId="0" borderId="40" xfId="4" applyFont="1" applyBorder="1" applyAlignment="1">
      <alignment horizontal="left" indent="1"/>
    </xf>
    <xf numFmtId="44" fontId="0" fillId="0" borderId="41" xfId="4" applyFont="1" applyBorder="1" applyAlignment="1">
      <alignment horizontal="left" indent="1"/>
    </xf>
    <xf numFmtId="44" fontId="0" fillId="5" borderId="40" xfId="4" applyFont="1" applyFill="1" applyBorder="1"/>
    <xf numFmtId="0" fontId="11" fillId="0" borderId="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7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27" fillId="0" borderId="6" xfId="0" applyFont="1" applyBorder="1" applyAlignment="1">
      <alignment horizontal="left"/>
    </xf>
    <xf numFmtId="0" fontId="27" fillId="0" borderId="0" xfId="0" applyFont="1" applyAlignment="1">
      <alignment horizontal="left"/>
    </xf>
    <xf numFmtId="164" fontId="1" fillId="0" borderId="2" xfId="0" applyNumberFormat="1" applyFont="1" applyBorder="1" applyAlignment="1">
      <alignment horizontal="center"/>
    </xf>
    <xf numFmtId="164" fontId="1" fillId="0" borderId="11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0" borderId="38" xfId="0" applyFont="1" applyBorder="1"/>
    <xf numFmtId="0" fontId="4" fillId="0" borderId="0" xfId="0" applyFont="1" applyAlignment="1">
      <alignment horizontal="left"/>
    </xf>
    <xf numFmtId="0" fontId="4" fillId="0" borderId="7" xfId="0" applyFont="1" applyBorder="1" applyAlignment="1">
      <alignment horizontal="left"/>
    </xf>
    <xf numFmtId="0" fontId="11" fillId="3" borderId="6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11" fillId="3" borderId="7" xfId="0" applyFont="1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11" borderId="16" xfId="0" applyFont="1" applyFill="1" applyBorder="1" applyAlignment="1">
      <alignment horizontal="left"/>
    </xf>
    <xf numFmtId="0" fontId="1" fillId="11" borderId="18" xfId="0" applyFont="1" applyFill="1" applyBorder="1" applyAlignment="1">
      <alignment horizontal="left"/>
    </xf>
    <xf numFmtId="0" fontId="23" fillId="11" borderId="16" xfId="0" applyFont="1" applyFill="1" applyBorder="1" applyAlignment="1">
      <alignment horizontal="left"/>
    </xf>
    <xf numFmtId="0" fontId="23" fillId="11" borderId="18" xfId="0" applyFont="1" applyFill="1" applyBorder="1" applyAlignment="1">
      <alignment horizontal="left"/>
    </xf>
    <xf numFmtId="0" fontId="15" fillId="4" borderId="16" xfId="0" applyFont="1" applyFill="1" applyBorder="1" applyAlignment="1">
      <alignment horizontal="center"/>
    </xf>
    <xf numFmtId="0" fontId="15" fillId="4" borderId="17" xfId="0" applyFont="1" applyFill="1" applyBorder="1" applyAlignment="1">
      <alignment horizontal="center"/>
    </xf>
    <xf numFmtId="0" fontId="15" fillId="4" borderId="18" xfId="0" applyFont="1" applyFill="1" applyBorder="1" applyAlignment="1">
      <alignment horizontal="center"/>
    </xf>
    <xf numFmtId="0" fontId="15" fillId="4" borderId="3" xfId="0" applyFont="1" applyFill="1" applyBorder="1" applyAlignment="1">
      <alignment horizontal="center"/>
    </xf>
    <xf numFmtId="0" fontId="15" fillId="4" borderId="5" xfId="0" applyFont="1" applyFill="1" applyBorder="1" applyAlignment="1">
      <alignment horizontal="center"/>
    </xf>
    <xf numFmtId="0" fontId="15" fillId="4" borderId="4" xfId="0" applyFont="1" applyFill="1" applyBorder="1" applyAlignment="1">
      <alignment horizontal="center"/>
    </xf>
  </cellXfs>
  <cellStyles count="7">
    <cellStyle name="Currency" xfId="4" builtinId="4"/>
    <cellStyle name="Currency 2" xfId="2" xr:uid="{00000000-0005-0000-0000-000001000000}"/>
    <cellStyle name="Hyperlink" xfId="3" builtinId="8"/>
    <cellStyle name="Normal" xfId="0" builtinId="0"/>
    <cellStyle name="Normal 2" xfId="1" xr:uid="{00000000-0005-0000-0000-000005000000}"/>
    <cellStyle name="Normal 3" xfId="6" xr:uid="{00000000-0005-0000-0000-000006000000}"/>
    <cellStyle name="Percent" xfId="5" builtinId="5"/>
  </cellStyles>
  <dxfs count="4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574285</xdr:colOff>
      <xdr:row>0</xdr:row>
      <xdr:rowOff>71782</xdr:rowOff>
    </xdr:from>
    <xdr:to>
      <xdr:col>2</xdr:col>
      <xdr:colOff>1830008</xdr:colOff>
      <xdr:row>0</xdr:row>
      <xdr:rowOff>1087783</xdr:rowOff>
    </xdr:to>
    <xdr:pic>
      <xdr:nvPicPr>
        <xdr:cNvPr id="2" name="Picture 1" descr="A picture containing text, clipart, sign&#10;&#10;Description automatically generated">
          <a:extLst>
            <a:ext uri="{FF2B5EF4-FFF2-40B4-BE49-F238E27FC236}">
              <a16:creationId xmlns:a16="http://schemas.microsoft.com/office/drawing/2014/main" id="{27AC8880-B252-43BD-B8DC-0DDD6B9C8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6385" y="69877"/>
          <a:ext cx="3741748" cy="10140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taylor@alleatogroup.com" TargetMode="External"/><Relationship Id="rId1" Type="http://schemas.openxmlformats.org/officeDocument/2006/relationships/hyperlink" Target="mailto:bclymer@alleatogroup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mailto:kgreisl@godbyhpe.com" TargetMode="External"/><Relationship Id="rId21" Type="http://schemas.openxmlformats.org/officeDocument/2006/relationships/hyperlink" Target="mailto:tom@justindorseyplumbing.com" TargetMode="External"/><Relationship Id="rId42" Type="http://schemas.openxmlformats.org/officeDocument/2006/relationships/hyperlink" Target="mailto:jskwarcan@baumgartnerasphalt.com" TargetMode="External"/><Relationship Id="rId47" Type="http://schemas.openxmlformats.org/officeDocument/2006/relationships/hyperlink" Target="mailto:justin@acepavingllc.com" TargetMode="External"/><Relationship Id="rId63" Type="http://schemas.openxmlformats.org/officeDocument/2006/relationships/hyperlink" Target="mailto:bids@precisionestimations.com" TargetMode="External"/><Relationship Id="rId68" Type="http://schemas.openxmlformats.org/officeDocument/2006/relationships/hyperlink" Target="mailto:estimating@gradexinc.com" TargetMode="External"/><Relationship Id="rId16" Type="http://schemas.openxmlformats.org/officeDocument/2006/relationships/hyperlink" Target="mailto:aaronhughes.filson@comcast.net" TargetMode="External"/><Relationship Id="rId11" Type="http://schemas.openxmlformats.org/officeDocument/2006/relationships/hyperlink" Target="mailto:kindredexcavating@hotmail.com" TargetMode="External"/><Relationship Id="rId32" Type="http://schemas.openxmlformats.org/officeDocument/2006/relationships/hyperlink" Target="mailto:cordellm@fitellc.com" TargetMode="External"/><Relationship Id="rId37" Type="http://schemas.openxmlformats.org/officeDocument/2006/relationships/hyperlink" Target="mailto:larry@tpcmech.com" TargetMode="External"/><Relationship Id="rId53" Type="http://schemas.openxmlformats.org/officeDocument/2006/relationships/hyperlink" Target="mailto:matt@mglandscapeand%20irrigation.com" TargetMode="External"/><Relationship Id="rId58" Type="http://schemas.openxmlformats.org/officeDocument/2006/relationships/hyperlink" Target="mailto:tony@jaycrew.com" TargetMode="External"/><Relationship Id="rId74" Type="http://schemas.openxmlformats.org/officeDocument/2006/relationships/hyperlink" Target="mailto:mhillen@Webeatyinc.com" TargetMode="External"/><Relationship Id="rId79" Type="http://schemas.openxmlformats.org/officeDocument/2006/relationships/hyperlink" Target="mailto:john@integrityfirellc.com" TargetMode="External"/><Relationship Id="rId5" Type="http://schemas.openxmlformats.org/officeDocument/2006/relationships/hyperlink" Target="mailto:bill@cepconcrete.com" TargetMode="External"/><Relationship Id="rId61" Type="http://schemas.openxmlformats.org/officeDocument/2006/relationships/hyperlink" Target="mailto:kkucholick@kompletelandscape.com" TargetMode="External"/><Relationship Id="rId82" Type="http://schemas.openxmlformats.org/officeDocument/2006/relationships/hyperlink" Target="mailto:jdillon@howardcompanies.com" TargetMode="External"/><Relationship Id="rId19" Type="http://schemas.openxmlformats.org/officeDocument/2006/relationships/hyperlink" Target="mailto:pspringsteen@mcontractors.com" TargetMode="External"/><Relationship Id="rId14" Type="http://schemas.openxmlformats.org/officeDocument/2006/relationships/hyperlink" Target="mailto:irv.g@gtechconstructionservices.com" TargetMode="External"/><Relationship Id="rId22" Type="http://schemas.openxmlformats.org/officeDocument/2006/relationships/hyperlink" Target="mailto:jon@missionmechanical.com" TargetMode="External"/><Relationship Id="rId27" Type="http://schemas.openxmlformats.org/officeDocument/2006/relationships/hyperlink" Target="mailto:ben.miller@gordonplumbing.com" TargetMode="External"/><Relationship Id="rId30" Type="http://schemas.openxmlformats.org/officeDocument/2006/relationships/hyperlink" Target="mailto:duane@mcs-db.com" TargetMode="External"/><Relationship Id="rId35" Type="http://schemas.openxmlformats.org/officeDocument/2006/relationships/hyperlink" Target="mailto:bell@bellplumbingservice.com" TargetMode="External"/><Relationship Id="rId43" Type="http://schemas.openxmlformats.org/officeDocument/2006/relationships/hyperlink" Target="mailto:jmendenhall@rudigpaving.com" TargetMode="External"/><Relationship Id="rId48" Type="http://schemas.openxmlformats.org/officeDocument/2006/relationships/hyperlink" Target="mailto:bids@precisionestimations.com" TargetMode="External"/><Relationship Id="rId56" Type="http://schemas.openxmlformats.org/officeDocument/2006/relationships/hyperlink" Target="mailto:jwolski@skilandscape.com" TargetMode="External"/><Relationship Id="rId64" Type="http://schemas.openxmlformats.org/officeDocument/2006/relationships/hyperlink" Target="mailto:brian@merritcontracting.com" TargetMode="External"/><Relationship Id="rId69" Type="http://schemas.openxmlformats.org/officeDocument/2006/relationships/hyperlink" Target="mailto:bfulk@poindexterexcavating.com" TargetMode="External"/><Relationship Id="rId77" Type="http://schemas.openxmlformats.org/officeDocument/2006/relationships/hyperlink" Target="mailto:coreylee@rsqfp.com" TargetMode="External"/><Relationship Id="rId8" Type="http://schemas.openxmlformats.org/officeDocument/2006/relationships/hyperlink" Target="mailto:godlytorrez@gmail.com" TargetMode="External"/><Relationship Id="rId51" Type="http://schemas.openxmlformats.org/officeDocument/2006/relationships/hyperlink" Target="mailto:ben@gradybros.com" TargetMode="External"/><Relationship Id="rId72" Type="http://schemas.openxmlformats.org/officeDocument/2006/relationships/hyperlink" Target="mailto:terry@alliedcwinc.com" TargetMode="External"/><Relationship Id="rId80" Type="http://schemas.openxmlformats.org/officeDocument/2006/relationships/hyperlink" Target="mailto:sschiesser@brownsprinkler.com" TargetMode="External"/><Relationship Id="rId3" Type="http://schemas.openxmlformats.org/officeDocument/2006/relationships/hyperlink" Target="mailto:bryann@customconcrete.com" TargetMode="External"/><Relationship Id="rId12" Type="http://schemas.openxmlformats.org/officeDocument/2006/relationships/hyperlink" Target="mailto:bids@precisionestimations.com" TargetMode="External"/><Relationship Id="rId17" Type="http://schemas.openxmlformats.org/officeDocument/2006/relationships/hyperlink" Target="mailto:estimating@gradexing.com" TargetMode="External"/><Relationship Id="rId25" Type="http://schemas.openxmlformats.org/officeDocument/2006/relationships/hyperlink" Target="mailto:bell@bellplumbingservice.com" TargetMode="External"/><Relationship Id="rId33" Type="http://schemas.openxmlformats.org/officeDocument/2006/relationships/hyperlink" Target="mailto:jon@missionmechanical.com" TargetMode="External"/><Relationship Id="rId38" Type="http://schemas.openxmlformats.org/officeDocument/2006/relationships/hyperlink" Target="mailto:phoward@greinerbrothers.com" TargetMode="External"/><Relationship Id="rId46" Type="http://schemas.openxmlformats.org/officeDocument/2006/relationships/hyperlink" Target="mailto:w.e.simmons2@gmail.com" TargetMode="External"/><Relationship Id="rId59" Type="http://schemas.openxmlformats.org/officeDocument/2006/relationships/hyperlink" Target="mailto:nickolas.hoover@retainitland.com" TargetMode="External"/><Relationship Id="rId67" Type="http://schemas.openxmlformats.org/officeDocument/2006/relationships/hyperlink" Target="mailto:aaronhughes.filson@comcast.net" TargetMode="External"/><Relationship Id="rId20" Type="http://schemas.openxmlformats.org/officeDocument/2006/relationships/hyperlink" Target="mailto:joet@fitellc.com" TargetMode="External"/><Relationship Id="rId41" Type="http://schemas.openxmlformats.org/officeDocument/2006/relationships/hyperlink" Target="mailto:dan@idealac.net" TargetMode="External"/><Relationship Id="rId54" Type="http://schemas.openxmlformats.org/officeDocument/2006/relationships/hyperlink" Target="mailto:ray.kamstra@gmail.com" TargetMode="External"/><Relationship Id="rId62" Type="http://schemas.openxmlformats.org/officeDocument/2006/relationships/hyperlink" Target="mailto:estimating@blbrown.com" TargetMode="External"/><Relationship Id="rId70" Type="http://schemas.openxmlformats.org/officeDocument/2006/relationships/hyperlink" Target="mailto:kindredexcavating@hotmail.com" TargetMode="External"/><Relationship Id="rId75" Type="http://schemas.openxmlformats.org/officeDocument/2006/relationships/hyperlink" Target="mailto:lopez.chris@siemens.com" TargetMode="External"/><Relationship Id="rId83" Type="http://schemas.openxmlformats.org/officeDocument/2006/relationships/printerSettings" Target="../printerSettings/printerSettings4.bin"/><Relationship Id="rId1" Type="http://schemas.openxmlformats.org/officeDocument/2006/relationships/hyperlink" Target="mailto:cweber@ccconcrete.net" TargetMode="External"/><Relationship Id="rId6" Type="http://schemas.openxmlformats.org/officeDocument/2006/relationships/hyperlink" Target="mailto:tsizelove@mc-concrete.com" TargetMode="External"/><Relationship Id="rId15" Type="http://schemas.openxmlformats.org/officeDocument/2006/relationships/hyperlink" Target="mailto:cmcknight@premierundergroundinc.com" TargetMode="External"/><Relationship Id="rId23" Type="http://schemas.openxmlformats.org/officeDocument/2006/relationships/hyperlink" Target="mailto:dave@mccurdymech.com" TargetMode="External"/><Relationship Id="rId28" Type="http://schemas.openxmlformats.org/officeDocument/2006/relationships/hyperlink" Target="mailto:jrowe@tpcmech.com" TargetMode="External"/><Relationship Id="rId36" Type="http://schemas.openxmlformats.org/officeDocument/2006/relationships/hyperlink" Target="mailto:jbilbrey@godbyhpe.com" TargetMode="External"/><Relationship Id="rId49" Type="http://schemas.openxmlformats.org/officeDocument/2006/relationships/hyperlink" Target="mailto:jwallace@delelloandsons.com" TargetMode="External"/><Relationship Id="rId57" Type="http://schemas.openxmlformats.org/officeDocument/2006/relationships/hyperlink" Target="mailto:shastings@mli-in.com" TargetMode="External"/><Relationship Id="rId10" Type="http://schemas.openxmlformats.org/officeDocument/2006/relationships/hyperlink" Target="mailto:estimating@blbrowninc.com" TargetMode="External"/><Relationship Id="rId31" Type="http://schemas.openxmlformats.org/officeDocument/2006/relationships/hyperlink" Target="mailto:fnichols@airconengr.com" TargetMode="External"/><Relationship Id="rId44" Type="http://schemas.openxmlformats.org/officeDocument/2006/relationships/hyperlink" Target="mailto:mpennington@globeasphalt.com" TargetMode="External"/><Relationship Id="rId52" Type="http://schemas.openxmlformats.org/officeDocument/2006/relationships/hyperlink" Target="mailto:christina.stoner@goodinground.com" TargetMode="External"/><Relationship Id="rId60" Type="http://schemas.openxmlformats.org/officeDocument/2006/relationships/hyperlink" Target="mailto:mgodek@mainscape.com" TargetMode="External"/><Relationship Id="rId65" Type="http://schemas.openxmlformats.org/officeDocument/2006/relationships/hyperlink" Target="mailto:irv.g@gtechconstructionservices.com" TargetMode="External"/><Relationship Id="rId73" Type="http://schemas.openxmlformats.org/officeDocument/2006/relationships/hyperlink" Target="mailto:apexpaving@aol.com" TargetMode="External"/><Relationship Id="rId78" Type="http://schemas.openxmlformats.org/officeDocument/2006/relationships/hyperlink" Target="mailto:joe.s@performancefp.com" TargetMode="External"/><Relationship Id="rId81" Type="http://schemas.openxmlformats.org/officeDocument/2006/relationships/hyperlink" Target="mailto:zack.bullock@unitedexcavating.com" TargetMode="External"/><Relationship Id="rId4" Type="http://schemas.openxmlformats.org/officeDocument/2006/relationships/hyperlink" Target="mailto:cshetterley@traceconstruction.net" TargetMode="External"/><Relationship Id="rId9" Type="http://schemas.openxmlformats.org/officeDocument/2006/relationships/hyperlink" Target="mailto:bwright@merrittcontracting.com" TargetMode="External"/><Relationship Id="rId13" Type="http://schemas.openxmlformats.org/officeDocument/2006/relationships/hyperlink" Target="mailto:brian@merrittcontracting.com" TargetMode="External"/><Relationship Id="rId18" Type="http://schemas.openxmlformats.org/officeDocument/2006/relationships/hyperlink" Target="mailto:bfulk@poindexterexcavating.com" TargetMode="External"/><Relationship Id="rId39" Type="http://schemas.openxmlformats.org/officeDocument/2006/relationships/hyperlink" Target="mailto:josh@mcs-db.com" TargetMode="External"/><Relationship Id="rId34" Type="http://schemas.openxmlformats.org/officeDocument/2006/relationships/hyperlink" Target="mailto:mlamb@realmechanical.com" TargetMode="External"/><Relationship Id="rId50" Type="http://schemas.openxmlformats.org/officeDocument/2006/relationships/hyperlink" Target="mailto:jdillon@howardcompanies.com" TargetMode="External"/><Relationship Id="rId55" Type="http://schemas.openxmlformats.org/officeDocument/2006/relationships/hyperlink" Target="mailto:bill@hittlelandscape.com" TargetMode="External"/><Relationship Id="rId76" Type="http://schemas.openxmlformats.org/officeDocument/2006/relationships/hyperlink" Target="mailto:abell@ryanfp.com" TargetMode="External"/><Relationship Id="rId7" Type="http://schemas.openxmlformats.org/officeDocument/2006/relationships/hyperlink" Target="mailto:randyf@weberconcrete.com" TargetMode="External"/><Relationship Id="rId71" Type="http://schemas.openxmlformats.org/officeDocument/2006/relationships/hyperlink" Target="mailto:pspringsteen@mcontractors.com" TargetMode="External"/><Relationship Id="rId2" Type="http://schemas.openxmlformats.org/officeDocument/2006/relationships/hyperlink" Target="mailto:clay.karns@karnsinc.com" TargetMode="External"/><Relationship Id="rId29" Type="http://schemas.openxmlformats.org/officeDocument/2006/relationships/hyperlink" Target="mailto:phoward@greinerbrothers.com" TargetMode="External"/><Relationship Id="rId24" Type="http://schemas.openxmlformats.org/officeDocument/2006/relationships/hyperlink" Target="mailto:mlamb@realmechanical.com" TargetMode="External"/><Relationship Id="rId40" Type="http://schemas.openxmlformats.org/officeDocument/2006/relationships/hyperlink" Target="mailto:wlmoore@tmimechanical.com" TargetMode="External"/><Relationship Id="rId45" Type="http://schemas.openxmlformats.org/officeDocument/2006/relationships/hyperlink" Target="mailto:rschwinn@eaoutdoorservices.com" TargetMode="External"/><Relationship Id="rId66" Type="http://schemas.openxmlformats.org/officeDocument/2006/relationships/hyperlink" Target="mailto:cmcknight@premierundergroundin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51"/>
  <sheetViews>
    <sheetView topLeftCell="A50" zoomScale="90" zoomScaleNormal="90" workbookViewId="0">
      <selection activeCell="X86" sqref="X86"/>
    </sheetView>
  </sheetViews>
  <sheetFormatPr defaultRowHeight="14.4" x14ac:dyDescent="0.3"/>
  <cols>
    <col min="1" max="1" width="22.88671875" style="34" bestFit="1" customWidth="1"/>
    <col min="2" max="2" width="36.109375" style="5" customWidth="1"/>
    <col min="3" max="3" width="49.109375" customWidth="1"/>
    <col min="4" max="4" width="14.44140625" customWidth="1"/>
    <col min="5" max="5" width="9.5546875" bestFit="1" customWidth="1"/>
    <col min="6" max="6" width="7.44140625" customWidth="1"/>
    <col min="7" max="7" width="8.88671875" style="32"/>
    <col min="8" max="8" width="16.109375" bestFit="1" customWidth="1"/>
    <col min="9" max="9" width="11.5546875" customWidth="1"/>
  </cols>
  <sheetData>
    <row r="1" spans="1:4" ht="93.75" customHeight="1" x14ac:dyDescent="0.3">
      <c r="A1" s="295"/>
      <c r="B1" s="296"/>
      <c r="C1" s="296"/>
      <c r="D1" s="297"/>
    </row>
    <row r="2" spans="1:4" ht="18" thickBot="1" x14ac:dyDescent="0.35">
      <c r="A2" s="298"/>
      <c r="B2" s="299"/>
      <c r="C2" s="300"/>
      <c r="D2" s="301"/>
    </row>
    <row r="3" spans="1:4" ht="19.5" customHeight="1" thickTop="1" x14ac:dyDescent="0.3">
      <c r="A3" s="302" t="s">
        <v>0</v>
      </c>
      <c r="B3" s="303"/>
      <c r="C3" s="303"/>
      <c r="D3" s="304"/>
    </row>
    <row r="4" spans="1:4" ht="10.5" customHeight="1" thickBot="1" x14ac:dyDescent="0.35">
      <c r="A4" s="305"/>
      <c r="B4" s="306"/>
      <c r="C4" s="181"/>
      <c r="D4" s="182"/>
    </row>
    <row r="5" spans="1:4" ht="15" customHeight="1" thickTop="1" thickBot="1" x14ac:dyDescent="0.35">
      <c r="A5" s="10" t="s">
        <v>1</v>
      </c>
      <c r="B5" s="4" t="s">
        <v>2</v>
      </c>
      <c r="C5" s="3" t="s">
        <v>3</v>
      </c>
      <c r="D5" s="11" t="s">
        <v>4</v>
      </c>
    </row>
    <row r="6" spans="1:4" ht="15.6" thickTop="1" thickBot="1" x14ac:dyDescent="0.35">
      <c r="A6" s="10" t="s">
        <v>1</v>
      </c>
      <c r="B6" s="4" t="s">
        <v>5</v>
      </c>
      <c r="C6" s="3" t="s">
        <v>6</v>
      </c>
      <c r="D6" s="11" t="s">
        <v>7</v>
      </c>
    </row>
    <row r="7" spans="1:4" ht="15" thickTop="1" x14ac:dyDescent="0.3">
      <c r="A7" s="12"/>
      <c r="B7" s="13"/>
      <c r="C7" s="14"/>
      <c r="D7" s="15"/>
    </row>
    <row r="8" spans="1:4" x14ac:dyDescent="0.3">
      <c r="A8" s="16" t="s">
        <v>8</v>
      </c>
      <c r="B8" s="307"/>
      <c r="C8" s="307"/>
      <c r="D8" s="308"/>
    </row>
    <row r="9" spans="1:4" x14ac:dyDescent="0.3">
      <c r="A9" s="16" t="s">
        <v>9</v>
      </c>
      <c r="B9" s="307"/>
      <c r="C9" s="307"/>
      <c r="D9" s="308"/>
    </row>
    <row r="10" spans="1:4" ht="16.5" customHeight="1" x14ac:dyDescent="0.3">
      <c r="A10" s="17"/>
      <c r="B10" s="18"/>
      <c r="D10" s="19"/>
    </row>
    <row r="11" spans="1:4" ht="17.399999999999999" x14ac:dyDescent="0.3">
      <c r="A11" s="292" t="s">
        <v>10</v>
      </c>
      <c r="B11" s="293"/>
      <c r="C11" s="293"/>
      <c r="D11" s="294"/>
    </row>
    <row r="12" spans="1:4" ht="15.6" x14ac:dyDescent="0.3">
      <c r="A12" s="20" t="s">
        <v>11</v>
      </c>
      <c r="B12" s="21">
        <f>'General Conditions'!C76</f>
        <v>0</v>
      </c>
      <c r="C12" s="2"/>
      <c r="D12" s="22"/>
    </row>
    <row r="13" spans="1:4" ht="17.399999999999999" x14ac:dyDescent="0.3">
      <c r="A13" s="292" t="s">
        <v>12</v>
      </c>
      <c r="B13" s="293"/>
      <c r="C13" s="293"/>
      <c r="D13" s="294"/>
    </row>
    <row r="14" spans="1:4" ht="15.6" hidden="1" x14ac:dyDescent="0.3">
      <c r="A14" s="23"/>
      <c r="B14" s="24">
        <f>QuantityTakeoff!Y25</f>
        <v>0</v>
      </c>
      <c r="C14" s="28" t="s">
        <v>13</v>
      </c>
      <c r="D14" s="22"/>
    </row>
    <row r="15" spans="1:4" hidden="1" x14ac:dyDescent="0.3">
      <c r="A15" s="23"/>
      <c r="B15" s="24">
        <v>0</v>
      </c>
      <c r="C15" s="2"/>
      <c r="D15" s="22"/>
    </row>
    <row r="16" spans="1:4" ht="15.6" x14ac:dyDescent="0.3">
      <c r="A16" s="20" t="s">
        <v>11</v>
      </c>
      <c r="B16" s="25">
        <f>SUBTOTAL(9,B14:B15)</f>
        <v>0</v>
      </c>
      <c r="C16" s="2"/>
      <c r="D16" s="22"/>
    </row>
    <row r="17" spans="1:4" ht="17.399999999999999" x14ac:dyDescent="0.3">
      <c r="A17" s="309" t="s">
        <v>14</v>
      </c>
      <c r="B17" s="310"/>
      <c r="C17" s="310"/>
      <c r="D17" s="311"/>
    </row>
    <row r="18" spans="1:4" ht="15.6" hidden="1" x14ac:dyDescent="0.3">
      <c r="A18" s="23" t="s">
        <v>15</v>
      </c>
      <c r="B18" s="24">
        <f>QuantityTakeoff!Y41</f>
        <v>0</v>
      </c>
      <c r="C18" s="28" t="s">
        <v>13</v>
      </c>
      <c r="D18" s="22"/>
    </row>
    <row r="19" spans="1:4" hidden="1" x14ac:dyDescent="0.3">
      <c r="A19" s="23"/>
      <c r="B19" s="24">
        <v>0</v>
      </c>
      <c r="C19" s="2"/>
      <c r="D19" s="22"/>
    </row>
    <row r="20" spans="1:4" ht="15.6" x14ac:dyDescent="0.3">
      <c r="A20" s="20" t="s">
        <v>11</v>
      </c>
      <c r="B20" s="21">
        <f>SUBTOTAL(9,B18:B19)</f>
        <v>0</v>
      </c>
      <c r="C20" s="2"/>
      <c r="D20" s="22"/>
    </row>
    <row r="21" spans="1:4" ht="17.399999999999999" x14ac:dyDescent="0.3">
      <c r="A21" s="292" t="s">
        <v>16</v>
      </c>
      <c r="B21" s="293"/>
      <c r="C21" s="293"/>
      <c r="D21" s="294"/>
    </row>
    <row r="22" spans="1:4" x14ac:dyDescent="0.3">
      <c r="A22" s="23" t="s">
        <v>17</v>
      </c>
      <c r="B22" s="24"/>
      <c r="C22" s="2" t="s">
        <v>18</v>
      </c>
      <c r="D22" s="22"/>
    </row>
    <row r="23" spans="1:4" x14ac:dyDescent="0.3">
      <c r="A23" s="23"/>
      <c r="B23" s="24"/>
      <c r="C23" s="2"/>
      <c r="D23" s="22"/>
    </row>
    <row r="24" spans="1:4" ht="15.6" x14ac:dyDescent="0.3">
      <c r="A24" s="20" t="s">
        <v>11</v>
      </c>
      <c r="B24" s="21">
        <f>SUBTOTAL(9,B22:B23)</f>
        <v>0</v>
      </c>
      <c r="C24" s="2"/>
      <c r="D24" s="22"/>
    </row>
    <row r="25" spans="1:4" ht="17.399999999999999" x14ac:dyDescent="0.3">
      <c r="A25" s="292" t="s">
        <v>19</v>
      </c>
      <c r="B25" s="293"/>
      <c r="C25" s="293"/>
      <c r="D25" s="294"/>
    </row>
    <row r="26" spans="1:4" ht="15.6" x14ac:dyDescent="0.3">
      <c r="A26" s="23" t="s">
        <v>20</v>
      </c>
      <c r="B26" s="24">
        <f>QuantityTakeoff!Y53</f>
        <v>0</v>
      </c>
      <c r="C26" s="28" t="s">
        <v>13</v>
      </c>
      <c r="D26" s="22"/>
    </row>
    <row r="27" spans="1:4" x14ac:dyDescent="0.3">
      <c r="A27" s="23"/>
      <c r="B27" s="24">
        <v>0</v>
      </c>
      <c r="C27" s="2"/>
      <c r="D27" s="22"/>
    </row>
    <row r="28" spans="1:4" ht="15.6" x14ac:dyDescent="0.3">
      <c r="A28" s="20" t="s">
        <v>11</v>
      </c>
      <c r="B28" s="21">
        <f>SUBTOTAL(9,B26:B27)</f>
        <v>0</v>
      </c>
      <c r="C28" s="2"/>
      <c r="D28" s="22"/>
    </row>
    <row r="29" spans="1:4" ht="17.399999999999999" x14ac:dyDescent="0.3">
      <c r="A29" s="292" t="s">
        <v>21</v>
      </c>
      <c r="B29" s="293"/>
      <c r="C29" s="293"/>
      <c r="D29" s="294"/>
    </row>
    <row r="30" spans="1:4" ht="15.6" x14ac:dyDescent="0.3">
      <c r="A30" s="23" t="s">
        <v>22</v>
      </c>
      <c r="B30" s="24">
        <f>QuantityTakeoff!Y60</f>
        <v>0</v>
      </c>
      <c r="C30" s="28" t="s">
        <v>13</v>
      </c>
      <c r="D30" s="22"/>
    </row>
    <row r="31" spans="1:4" x14ac:dyDescent="0.3">
      <c r="A31" s="23"/>
      <c r="B31" s="24">
        <v>0</v>
      </c>
      <c r="C31" s="2"/>
      <c r="D31" s="22"/>
    </row>
    <row r="32" spans="1:4" x14ac:dyDescent="0.3">
      <c r="A32" s="23"/>
      <c r="B32" s="24">
        <v>0</v>
      </c>
      <c r="C32" s="2"/>
      <c r="D32" s="22"/>
    </row>
    <row r="33" spans="1:4" ht="15.6" x14ac:dyDescent="0.3">
      <c r="A33" s="20" t="s">
        <v>11</v>
      </c>
      <c r="B33" s="21">
        <f>SUBTOTAL(9,B30:B31)</f>
        <v>0</v>
      </c>
      <c r="C33" s="2"/>
      <c r="D33" s="22"/>
    </row>
    <row r="34" spans="1:4" ht="17.399999999999999" x14ac:dyDescent="0.3">
      <c r="A34" s="292" t="s">
        <v>23</v>
      </c>
      <c r="B34" s="293"/>
      <c r="C34" s="293"/>
      <c r="D34" s="294"/>
    </row>
    <row r="35" spans="1:4" ht="15.6" x14ac:dyDescent="0.3">
      <c r="A35" s="23"/>
      <c r="B35" s="24">
        <f>QuantityTakeoff!Y71</f>
        <v>0</v>
      </c>
      <c r="C35" s="28" t="s">
        <v>13</v>
      </c>
      <c r="D35" s="22"/>
    </row>
    <row r="36" spans="1:4" x14ac:dyDescent="0.3">
      <c r="A36" s="23"/>
      <c r="B36" s="24">
        <v>0</v>
      </c>
      <c r="C36" s="2"/>
      <c r="D36" s="22"/>
    </row>
    <row r="37" spans="1:4" ht="15.6" x14ac:dyDescent="0.3">
      <c r="A37" s="20" t="s">
        <v>11</v>
      </c>
      <c r="B37" s="21">
        <f>SUBTOTAL(9,B35:B36)</f>
        <v>0</v>
      </c>
      <c r="C37" s="2"/>
      <c r="D37" s="22"/>
    </row>
    <row r="38" spans="1:4" ht="17.399999999999999" x14ac:dyDescent="0.3">
      <c r="A38" s="292" t="s">
        <v>24</v>
      </c>
      <c r="B38" s="293"/>
      <c r="C38" s="293"/>
      <c r="D38" s="294"/>
    </row>
    <row r="39" spans="1:4" ht="15.6" x14ac:dyDescent="0.3">
      <c r="A39" s="23"/>
      <c r="B39" s="24">
        <f>QuantityTakeoff!Y87</f>
        <v>0</v>
      </c>
      <c r="C39" s="28" t="s">
        <v>13</v>
      </c>
      <c r="D39" s="22"/>
    </row>
    <row r="40" spans="1:4" x14ac:dyDescent="0.3">
      <c r="A40" s="23"/>
      <c r="B40" s="24">
        <v>0</v>
      </c>
      <c r="C40" s="2"/>
      <c r="D40" s="22"/>
    </row>
    <row r="41" spans="1:4" x14ac:dyDescent="0.3">
      <c r="A41" s="23"/>
      <c r="B41" s="24">
        <v>0</v>
      </c>
      <c r="C41" s="2"/>
      <c r="D41" s="22"/>
    </row>
    <row r="42" spans="1:4" x14ac:dyDescent="0.3">
      <c r="A42" s="23"/>
      <c r="B42" s="24">
        <v>0</v>
      </c>
      <c r="C42" s="2"/>
      <c r="D42" s="22"/>
    </row>
    <row r="43" spans="1:4" ht="15.6" x14ac:dyDescent="0.3">
      <c r="A43" s="20" t="s">
        <v>11</v>
      </c>
      <c r="B43" s="21">
        <f>SUBTOTAL(9,B39:B42)</f>
        <v>0</v>
      </c>
      <c r="C43" s="2"/>
      <c r="D43" s="22"/>
    </row>
    <row r="44" spans="1:4" ht="17.399999999999999" x14ac:dyDescent="0.3">
      <c r="A44" s="292" t="s">
        <v>25</v>
      </c>
      <c r="B44" s="293"/>
      <c r="C44" s="293"/>
      <c r="D44" s="294"/>
    </row>
    <row r="45" spans="1:4" ht="15.6" x14ac:dyDescent="0.3">
      <c r="A45" s="23"/>
      <c r="B45" s="24">
        <f>QuantityTakeoff!Y98</f>
        <v>0</v>
      </c>
      <c r="C45" s="28" t="s">
        <v>13</v>
      </c>
      <c r="D45" s="22"/>
    </row>
    <row r="46" spans="1:4" x14ac:dyDescent="0.3">
      <c r="A46" s="23"/>
      <c r="B46" s="24">
        <v>0</v>
      </c>
      <c r="C46" s="2"/>
      <c r="D46" s="22"/>
    </row>
    <row r="47" spans="1:4" x14ac:dyDescent="0.3">
      <c r="A47" s="23"/>
      <c r="B47" s="24">
        <v>0</v>
      </c>
      <c r="C47" s="2"/>
      <c r="D47" s="22"/>
    </row>
    <row r="48" spans="1:4" x14ac:dyDescent="0.3">
      <c r="A48" s="23"/>
      <c r="B48" s="24">
        <v>0</v>
      </c>
      <c r="C48" s="2"/>
      <c r="D48" s="22"/>
    </row>
    <row r="49" spans="1:4" ht="15.6" x14ac:dyDescent="0.3">
      <c r="A49" s="20" t="s">
        <v>11</v>
      </c>
      <c r="B49" s="21">
        <f>SUBTOTAL(9,B45:B48)</f>
        <v>0</v>
      </c>
      <c r="C49" s="2"/>
      <c r="D49" s="22"/>
    </row>
    <row r="50" spans="1:4" ht="19.350000000000001" customHeight="1" x14ac:dyDescent="0.3">
      <c r="A50" s="292" t="s">
        <v>26</v>
      </c>
      <c r="B50" s="293"/>
      <c r="C50" s="293"/>
      <c r="D50" s="294"/>
    </row>
    <row r="51" spans="1:4" x14ac:dyDescent="0.3">
      <c r="A51" s="23" t="s">
        <v>27</v>
      </c>
      <c r="B51" s="24"/>
      <c r="C51" s="2"/>
      <c r="D51" s="22"/>
    </row>
    <row r="52" spans="1:4" ht="15.6" x14ac:dyDescent="0.3">
      <c r="A52" s="23"/>
      <c r="B52" s="24">
        <f>QuantityTakeoff!Y113</f>
        <v>0</v>
      </c>
      <c r="C52" s="28" t="s">
        <v>13</v>
      </c>
      <c r="D52" s="22"/>
    </row>
    <row r="53" spans="1:4" ht="15.6" x14ac:dyDescent="0.3">
      <c r="A53" s="23" t="s">
        <v>28</v>
      </c>
      <c r="B53" s="24">
        <f>QuantityTakeoff!W314</f>
        <v>0</v>
      </c>
      <c r="C53" s="28" t="s">
        <v>13</v>
      </c>
      <c r="D53" s="22"/>
    </row>
    <row r="54" spans="1:4" x14ac:dyDescent="0.3">
      <c r="A54" s="23"/>
      <c r="B54" s="24">
        <v>0</v>
      </c>
      <c r="C54" s="2"/>
      <c r="D54" s="22"/>
    </row>
    <row r="55" spans="1:4" x14ac:dyDescent="0.3">
      <c r="A55" s="23"/>
      <c r="B55" s="24">
        <v>0</v>
      </c>
      <c r="C55" s="2"/>
      <c r="D55" s="22"/>
    </row>
    <row r="56" spans="1:4" x14ac:dyDescent="0.3">
      <c r="A56" s="23"/>
      <c r="B56" s="24">
        <v>0</v>
      </c>
      <c r="C56" s="2"/>
      <c r="D56" s="22"/>
    </row>
    <row r="57" spans="1:4" ht="15.6" x14ac:dyDescent="0.3">
      <c r="A57" s="20" t="s">
        <v>11</v>
      </c>
      <c r="B57" s="21">
        <f>ROUNDUP(SUBTOTAL(9,B51:B56), 0)</f>
        <v>0</v>
      </c>
      <c r="C57" s="2"/>
      <c r="D57" s="22"/>
    </row>
    <row r="58" spans="1:4" ht="17.399999999999999" x14ac:dyDescent="0.3">
      <c r="A58" s="292" t="s">
        <v>29</v>
      </c>
      <c r="B58" s="293"/>
      <c r="C58" s="293"/>
      <c r="D58" s="294"/>
    </row>
    <row r="59" spans="1:4" x14ac:dyDescent="0.3">
      <c r="A59" s="23"/>
      <c r="B59" s="24">
        <f>QuantityTakeoff!Y137</f>
        <v>0</v>
      </c>
      <c r="C59" s="2"/>
      <c r="D59" s="22"/>
    </row>
    <row r="60" spans="1:4" x14ac:dyDescent="0.3">
      <c r="A60" s="23"/>
      <c r="B60" s="24">
        <v>0</v>
      </c>
      <c r="C60" s="2"/>
      <c r="D60" s="22"/>
    </row>
    <row r="61" spans="1:4" x14ac:dyDescent="0.3">
      <c r="A61" s="23"/>
      <c r="B61" s="24">
        <v>0</v>
      </c>
      <c r="C61" s="2"/>
      <c r="D61" s="22"/>
    </row>
    <row r="62" spans="1:4" ht="15.6" x14ac:dyDescent="0.3">
      <c r="A62" s="20" t="s">
        <v>11</v>
      </c>
      <c r="B62" s="21">
        <f>SUBTOTAL(9,B59:B61)</f>
        <v>0</v>
      </c>
      <c r="C62" s="2"/>
      <c r="D62" s="22"/>
    </row>
    <row r="63" spans="1:4" ht="17.399999999999999" x14ac:dyDescent="0.3">
      <c r="A63" s="292" t="s">
        <v>30</v>
      </c>
      <c r="B63" s="293"/>
      <c r="C63" s="293"/>
      <c r="D63" s="294"/>
    </row>
    <row r="64" spans="1:4" x14ac:dyDescent="0.3">
      <c r="A64" s="23"/>
      <c r="B64" s="24">
        <v>0</v>
      </c>
      <c r="C64" s="2"/>
      <c r="D64" s="22"/>
    </row>
    <row r="65" spans="1:4" x14ac:dyDescent="0.3">
      <c r="A65" s="23"/>
      <c r="B65" s="24">
        <v>0</v>
      </c>
      <c r="C65" s="2"/>
      <c r="D65" s="22"/>
    </row>
    <row r="66" spans="1:4" x14ac:dyDescent="0.3">
      <c r="A66" s="23"/>
      <c r="B66" s="24">
        <v>0</v>
      </c>
      <c r="C66" s="2"/>
      <c r="D66" s="22"/>
    </row>
    <row r="67" spans="1:4" x14ac:dyDescent="0.3">
      <c r="A67" s="23"/>
      <c r="B67" s="24">
        <v>0</v>
      </c>
      <c r="C67" s="2"/>
      <c r="D67" s="22"/>
    </row>
    <row r="68" spans="1:4" ht="15.6" x14ac:dyDescent="0.3">
      <c r="A68" s="20" t="s">
        <v>11</v>
      </c>
      <c r="B68" s="21">
        <f>SUBTOTAL(9,B64:B67)</f>
        <v>0</v>
      </c>
      <c r="C68" s="2"/>
      <c r="D68" s="22"/>
    </row>
    <row r="69" spans="1:4" ht="17.399999999999999" x14ac:dyDescent="0.3">
      <c r="A69" s="292" t="s">
        <v>31</v>
      </c>
      <c r="B69" s="293"/>
      <c r="C69" s="293"/>
      <c r="D69" s="294"/>
    </row>
    <row r="70" spans="1:4" x14ac:dyDescent="0.3">
      <c r="A70" s="23"/>
      <c r="B70" s="24">
        <f>QuantityTakeoff!Y156</f>
        <v>0</v>
      </c>
      <c r="C70" s="2"/>
      <c r="D70" s="22"/>
    </row>
    <row r="71" spans="1:4" x14ac:dyDescent="0.3">
      <c r="A71" s="23"/>
      <c r="B71" s="24">
        <v>0</v>
      </c>
      <c r="C71" s="2"/>
      <c r="D71" s="22"/>
    </row>
    <row r="72" spans="1:4" ht="15.6" x14ac:dyDescent="0.3">
      <c r="A72" s="20" t="s">
        <v>11</v>
      </c>
      <c r="B72" s="21">
        <f>SUBTOTAL(9,B70:B71)</f>
        <v>0</v>
      </c>
      <c r="C72" s="2"/>
      <c r="D72" s="22"/>
    </row>
    <row r="73" spans="1:4" ht="17.399999999999999" x14ac:dyDescent="0.3">
      <c r="A73" s="292" t="s">
        <v>32</v>
      </c>
      <c r="B73" s="293"/>
      <c r="C73" s="293"/>
      <c r="D73" s="294"/>
    </row>
    <row r="74" spans="1:4" x14ac:dyDescent="0.3">
      <c r="A74" s="23"/>
      <c r="B74" s="24">
        <f>QuantityTakeoff!Y166</f>
        <v>0</v>
      </c>
      <c r="C74" s="2"/>
      <c r="D74" s="22"/>
    </row>
    <row r="75" spans="1:4" x14ac:dyDescent="0.3">
      <c r="A75" s="23"/>
      <c r="B75" s="24">
        <v>0</v>
      </c>
      <c r="C75" s="2"/>
      <c r="D75" s="22"/>
    </row>
    <row r="76" spans="1:4" ht="15.6" x14ac:dyDescent="0.3">
      <c r="A76" s="20" t="s">
        <v>11</v>
      </c>
      <c r="B76" s="21">
        <f>SUBTOTAL(9,B74:B75)</f>
        <v>0</v>
      </c>
      <c r="C76" s="2"/>
      <c r="D76" s="22"/>
    </row>
    <row r="77" spans="1:4" ht="17.399999999999999" x14ac:dyDescent="0.3">
      <c r="A77" s="292" t="s">
        <v>33</v>
      </c>
      <c r="B77" s="293"/>
      <c r="C77" s="293"/>
      <c r="D77" s="294"/>
    </row>
    <row r="78" spans="1:4" x14ac:dyDescent="0.3">
      <c r="A78" s="23"/>
      <c r="B78" s="24">
        <f>QuantityTakeoff!Y171</f>
        <v>0</v>
      </c>
      <c r="C78" s="2"/>
      <c r="D78" s="22"/>
    </row>
    <row r="79" spans="1:4" x14ac:dyDescent="0.3">
      <c r="A79" s="23"/>
      <c r="B79" s="24"/>
      <c r="C79" s="2"/>
      <c r="D79" s="22"/>
    </row>
    <row r="80" spans="1:4" ht="15.6" x14ac:dyDescent="0.3">
      <c r="A80" s="20" t="s">
        <v>11</v>
      </c>
      <c r="B80" s="21">
        <f>SUBTOTAL(9,B78:B79)</f>
        <v>0</v>
      </c>
      <c r="C80" s="2"/>
      <c r="D80" s="22"/>
    </row>
    <row r="81" spans="1:4" ht="17.399999999999999" x14ac:dyDescent="0.3">
      <c r="A81" s="292" t="s">
        <v>34</v>
      </c>
      <c r="B81" s="293"/>
      <c r="C81" s="293"/>
      <c r="D81" s="294"/>
    </row>
    <row r="82" spans="1:4" x14ac:dyDescent="0.3">
      <c r="A82" s="23"/>
      <c r="B82" s="24">
        <f>QuantityTakeoff!Y190</f>
        <v>0</v>
      </c>
      <c r="C82" s="2"/>
      <c r="D82" s="22"/>
    </row>
    <row r="83" spans="1:4" x14ac:dyDescent="0.3">
      <c r="A83" s="23"/>
      <c r="B83" s="24">
        <v>0</v>
      </c>
      <c r="C83" s="2"/>
      <c r="D83" s="22"/>
    </row>
    <row r="84" spans="1:4" ht="15.6" x14ac:dyDescent="0.3">
      <c r="A84" s="20" t="s">
        <v>11</v>
      </c>
      <c r="B84" s="21">
        <f>SUBTOTAL(9,B82)</f>
        <v>0</v>
      </c>
      <c r="C84" s="2"/>
      <c r="D84" s="22"/>
    </row>
    <row r="85" spans="1:4" ht="17.399999999999999" x14ac:dyDescent="0.3">
      <c r="A85" s="292" t="s">
        <v>35</v>
      </c>
      <c r="B85" s="293"/>
      <c r="C85" s="293"/>
      <c r="D85" s="294"/>
    </row>
    <row r="86" spans="1:4" x14ac:dyDescent="0.3">
      <c r="A86" s="23"/>
      <c r="B86" s="24">
        <f>QuantityTakeoff!Y205</f>
        <v>0</v>
      </c>
      <c r="C86" s="2"/>
      <c r="D86" s="22"/>
    </row>
    <row r="87" spans="1:4" x14ac:dyDescent="0.3">
      <c r="A87" s="23"/>
      <c r="B87" s="24">
        <v>0</v>
      </c>
      <c r="C87" s="2"/>
      <c r="D87" s="22"/>
    </row>
    <row r="88" spans="1:4" ht="15.6" x14ac:dyDescent="0.3">
      <c r="A88" s="20" t="s">
        <v>11</v>
      </c>
      <c r="B88" s="21">
        <f>SUBTOTAL(9,B86)</f>
        <v>0</v>
      </c>
      <c r="C88" s="2"/>
      <c r="D88" s="22"/>
    </row>
    <row r="89" spans="1:4" ht="17.399999999999999" hidden="1" x14ac:dyDescent="0.3">
      <c r="A89" s="292" t="s">
        <v>36</v>
      </c>
      <c r="B89" s="293"/>
      <c r="C89" s="293"/>
      <c r="D89" s="294"/>
    </row>
    <row r="90" spans="1:4" hidden="1" x14ac:dyDescent="0.3">
      <c r="A90" s="23"/>
      <c r="B90" s="24"/>
      <c r="C90" s="2"/>
      <c r="D90" s="22"/>
    </row>
    <row r="91" spans="1:4" hidden="1" x14ac:dyDescent="0.3">
      <c r="A91" s="23"/>
      <c r="B91" s="24"/>
      <c r="C91" s="2"/>
      <c r="D91" s="22"/>
    </row>
    <row r="92" spans="1:4" ht="15.6" hidden="1" x14ac:dyDescent="0.3">
      <c r="A92" s="20" t="s">
        <v>11</v>
      </c>
      <c r="B92" s="21">
        <f>SUBTOTAL(9,B90)</f>
        <v>0</v>
      </c>
      <c r="C92" s="2"/>
      <c r="D92" s="22"/>
    </row>
    <row r="93" spans="1:4" ht="17.399999999999999" hidden="1" x14ac:dyDescent="0.3">
      <c r="A93" s="292" t="s">
        <v>37</v>
      </c>
      <c r="B93" s="293"/>
      <c r="C93" s="293"/>
      <c r="D93" s="294"/>
    </row>
    <row r="94" spans="1:4" ht="17.399999999999999" hidden="1" x14ac:dyDescent="0.3">
      <c r="A94" s="23"/>
      <c r="B94" s="24">
        <f>QuantityTakeoff!Y237</f>
        <v>0</v>
      </c>
      <c r="C94" s="2"/>
      <c r="D94" s="33"/>
    </row>
    <row r="95" spans="1:4" ht="17.399999999999999" hidden="1" x14ac:dyDescent="0.3">
      <c r="A95" s="23"/>
      <c r="B95" s="24"/>
      <c r="C95" s="2"/>
      <c r="D95" s="33"/>
    </row>
    <row r="96" spans="1:4" ht="15.6" hidden="1" x14ac:dyDescent="0.3">
      <c r="A96" s="20" t="s">
        <v>11</v>
      </c>
      <c r="B96" s="21">
        <f>SUBTOTAL(9,B94:B95)</f>
        <v>0</v>
      </c>
      <c r="C96" s="2"/>
      <c r="D96" s="22"/>
    </row>
    <row r="97" spans="1:4" ht="17.399999999999999" hidden="1" x14ac:dyDescent="0.3">
      <c r="A97" s="292" t="s">
        <v>38</v>
      </c>
      <c r="B97" s="293"/>
      <c r="C97" s="293"/>
      <c r="D97" s="294"/>
    </row>
    <row r="98" spans="1:4" hidden="1" x14ac:dyDescent="0.3">
      <c r="A98" s="23"/>
      <c r="B98" s="24">
        <f>QuantityTakeoff!Y244</f>
        <v>0</v>
      </c>
      <c r="C98" s="2"/>
      <c r="D98" s="22"/>
    </row>
    <row r="99" spans="1:4" hidden="1" x14ac:dyDescent="0.3">
      <c r="A99" s="23"/>
      <c r="B99" s="24">
        <v>0</v>
      </c>
      <c r="C99" s="2"/>
      <c r="D99" s="22"/>
    </row>
    <row r="100" spans="1:4" hidden="1" x14ac:dyDescent="0.3">
      <c r="A100" s="23"/>
      <c r="B100" s="24">
        <v>0</v>
      </c>
      <c r="C100" s="2"/>
      <c r="D100" s="22"/>
    </row>
    <row r="101" spans="1:4" hidden="1" x14ac:dyDescent="0.3">
      <c r="A101" s="23"/>
      <c r="B101" s="24">
        <v>0</v>
      </c>
      <c r="C101" s="2"/>
      <c r="D101" s="22"/>
    </row>
    <row r="102" spans="1:4" hidden="1" x14ac:dyDescent="0.3">
      <c r="A102" s="23"/>
      <c r="B102" s="24">
        <v>0</v>
      </c>
      <c r="C102" s="2"/>
      <c r="D102" s="22"/>
    </row>
    <row r="103" spans="1:4" ht="15.6" hidden="1" x14ac:dyDescent="0.3">
      <c r="A103" s="20" t="s">
        <v>11</v>
      </c>
      <c r="B103" s="27">
        <f>SUBTOTAL(9,B98:B102)</f>
        <v>0</v>
      </c>
      <c r="C103" s="2"/>
      <c r="D103" s="22"/>
    </row>
    <row r="104" spans="1:4" ht="17.399999999999999" hidden="1" x14ac:dyDescent="0.3">
      <c r="A104" s="292" t="s">
        <v>39</v>
      </c>
      <c r="B104" s="293"/>
      <c r="C104" s="293"/>
      <c r="D104" s="294"/>
    </row>
    <row r="105" spans="1:4" hidden="1" x14ac:dyDescent="0.3">
      <c r="A105" s="23"/>
      <c r="B105" s="24"/>
      <c r="C105" s="2"/>
      <c r="D105" s="22"/>
    </row>
    <row r="106" spans="1:4" hidden="1" x14ac:dyDescent="0.3">
      <c r="A106" s="23"/>
      <c r="B106" s="24"/>
      <c r="C106" s="2"/>
      <c r="D106" s="22"/>
    </row>
    <row r="107" spans="1:4" ht="15.6" hidden="1" x14ac:dyDescent="0.3">
      <c r="A107" s="20" t="s">
        <v>11</v>
      </c>
      <c r="B107" s="27">
        <f>SUBTOTAL(9,B105:B106)</f>
        <v>0</v>
      </c>
      <c r="C107" s="2"/>
      <c r="D107" s="22"/>
    </row>
    <row r="108" spans="1:4" ht="17.399999999999999" hidden="1" x14ac:dyDescent="0.3">
      <c r="A108" s="292" t="s">
        <v>40</v>
      </c>
      <c r="B108" s="293"/>
      <c r="C108" s="293"/>
      <c r="D108" s="294"/>
    </row>
    <row r="109" spans="1:4" hidden="1" x14ac:dyDescent="0.3">
      <c r="A109" s="23"/>
      <c r="B109" s="24">
        <f>QuantityTakeoff!Y260</f>
        <v>0</v>
      </c>
      <c r="C109" s="2"/>
      <c r="D109" s="22"/>
    </row>
    <row r="110" spans="1:4" hidden="1" x14ac:dyDescent="0.3">
      <c r="A110" s="23"/>
      <c r="B110" s="24">
        <v>0</v>
      </c>
      <c r="C110" s="2"/>
      <c r="D110" s="22"/>
    </row>
    <row r="111" spans="1:4" ht="15.6" hidden="1" x14ac:dyDescent="0.3">
      <c r="A111" s="20" t="s">
        <v>11</v>
      </c>
      <c r="B111" s="27">
        <f>SUBTOTAL(9,B109:B110)</f>
        <v>0</v>
      </c>
      <c r="C111" s="28"/>
      <c r="D111" s="22"/>
    </row>
    <row r="112" spans="1:4" ht="17.399999999999999" hidden="1" x14ac:dyDescent="0.3">
      <c r="A112" s="292" t="s">
        <v>41</v>
      </c>
      <c r="B112" s="293"/>
      <c r="C112" s="293"/>
      <c r="D112" s="294"/>
    </row>
    <row r="113" spans="1:8" hidden="1" x14ac:dyDescent="0.3">
      <c r="A113" s="23"/>
      <c r="B113" s="24">
        <v>0</v>
      </c>
      <c r="C113" s="2"/>
      <c r="D113" s="22"/>
    </row>
    <row r="114" spans="1:8" hidden="1" x14ac:dyDescent="0.3">
      <c r="A114" s="23"/>
      <c r="B114" s="24">
        <v>0</v>
      </c>
      <c r="C114" s="2"/>
      <c r="D114" s="22"/>
    </row>
    <row r="115" spans="1:8" ht="15.6" hidden="1" x14ac:dyDescent="0.3">
      <c r="A115" s="20" t="s">
        <v>11</v>
      </c>
      <c r="B115" s="27">
        <f>SUBTOTAL(9,B113:B114)</f>
        <v>0</v>
      </c>
      <c r="C115" s="28"/>
      <c r="D115" s="22"/>
    </row>
    <row r="116" spans="1:8" ht="17.399999999999999" hidden="1" x14ac:dyDescent="0.3">
      <c r="A116" s="292" t="s">
        <v>42</v>
      </c>
      <c r="B116" s="293"/>
      <c r="C116" s="293"/>
      <c r="D116" s="294"/>
    </row>
    <row r="117" spans="1:8" hidden="1" x14ac:dyDescent="0.3">
      <c r="A117" s="23"/>
      <c r="B117" s="24">
        <v>0</v>
      </c>
      <c r="C117" s="2"/>
      <c r="D117" s="22"/>
    </row>
    <row r="118" spans="1:8" hidden="1" x14ac:dyDescent="0.3">
      <c r="A118" s="23"/>
      <c r="B118" s="24">
        <v>0</v>
      </c>
      <c r="C118" s="2"/>
      <c r="D118" s="22"/>
    </row>
    <row r="119" spans="1:8" ht="15.6" hidden="1" x14ac:dyDescent="0.3">
      <c r="A119" s="20" t="s">
        <v>11</v>
      </c>
      <c r="B119" s="27">
        <f>SUBTOTAL(9,B117:B118)</f>
        <v>0</v>
      </c>
      <c r="C119" s="28"/>
      <c r="D119" s="22"/>
    </row>
    <row r="120" spans="1:8" ht="17.399999999999999" hidden="1" x14ac:dyDescent="0.3">
      <c r="A120" s="292" t="s">
        <v>43</v>
      </c>
      <c r="B120" s="293"/>
      <c r="C120" s="293"/>
      <c r="D120" s="294"/>
    </row>
    <row r="121" spans="1:8" ht="16.350000000000001" hidden="1" customHeight="1" x14ac:dyDescent="0.3">
      <c r="A121" s="20"/>
      <c r="B121" s="24">
        <f>QuantityTakeoff!Y8</f>
        <v>0</v>
      </c>
      <c r="C121" s="28" t="s">
        <v>13</v>
      </c>
      <c r="D121" s="22"/>
    </row>
    <row r="122" spans="1:8" ht="15.6" hidden="1" x14ac:dyDescent="0.3">
      <c r="A122" s="20"/>
      <c r="B122" s="24">
        <v>0</v>
      </c>
      <c r="C122" s="28"/>
      <c r="D122" s="22"/>
    </row>
    <row r="123" spans="1:8" ht="15.6" hidden="1" x14ac:dyDescent="0.3">
      <c r="A123" s="20"/>
      <c r="B123" s="24">
        <v>0</v>
      </c>
      <c r="C123" s="28"/>
      <c r="D123" s="22"/>
    </row>
    <row r="124" spans="1:8" ht="15.6" hidden="1" x14ac:dyDescent="0.3">
      <c r="A124" s="20" t="s">
        <v>11</v>
      </c>
      <c r="B124" s="143">
        <f>SUM(B121:B123)</f>
        <v>0</v>
      </c>
      <c r="C124" s="164"/>
      <c r="D124" s="22"/>
    </row>
    <row r="125" spans="1:8" hidden="1" x14ac:dyDescent="0.3">
      <c r="A125" s="23"/>
      <c r="C125" s="2"/>
      <c r="D125" s="22"/>
      <c r="H125" s="5"/>
    </row>
    <row r="126" spans="1:8" x14ac:dyDescent="0.3">
      <c r="A126" s="23"/>
      <c r="B126" s="1"/>
      <c r="C126" s="2"/>
      <c r="D126" s="22"/>
      <c r="H126" s="5"/>
    </row>
    <row r="127" spans="1:8" ht="15.6" x14ac:dyDescent="0.3">
      <c r="A127" s="20" t="s">
        <v>44</v>
      </c>
      <c r="B127" s="21">
        <f>B12+B16+B20+B28+B24+B33+B37+B43+B49+B57+B62+B68+B72+B76+B80+B84+B88+B92+B96+B103+B107+B111+B115+B119+B124</f>
        <v>0</v>
      </c>
      <c r="C127" s="2"/>
      <c r="D127" s="22"/>
    </row>
    <row r="128" spans="1:8" ht="15.6" hidden="1" x14ac:dyDescent="0.3">
      <c r="A128" s="23" t="s">
        <v>45</v>
      </c>
      <c r="B128" s="21">
        <v>0</v>
      </c>
      <c r="C128" s="2"/>
      <c r="D128" s="22"/>
    </row>
    <row r="129" spans="1:9" ht="15.6" x14ac:dyDescent="0.3">
      <c r="A129" s="20" t="s">
        <v>46</v>
      </c>
      <c r="B129" s="21">
        <f>ROUNDUP(SUM(B127)*(0.0125),0)</f>
        <v>0</v>
      </c>
      <c r="C129" s="2"/>
      <c r="D129" s="22"/>
      <c r="H129" t="s">
        <v>951</v>
      </c>
    </row>
    <row r="130" spans="1:9" ht="15.6" x14ac:dyDescent="0.3">
      <c r="A130" s="20" t="s">
        <v>47</v>
      </c>
      <c r="B130" s="21">
        <f>ROUNDUP(SUM(B127:B129)*$G$130,0)</f>
        <v>0</v>
      </c>
      <c r="C130" s="2"/>
      <c r="D130" s="22"/>
      <c r="G130" s="46">
        <v>0.1</v>
      </c>
      <c r="I130" s="47" t="e">
        <f>SUM(B131/H130)</f>
        <v>#DIV/0!</v>
      </c>
    </row>
    <row r="131" spans="1:9" ht="18" thickBot="1" x14ac:dyDescent="0.35">
      <c r="A131" s="29" t="s">
        <v>48</v>
      </c>
      <c r="B131" s="42">
        <f>SUM(B127, B128,B129,B130)</f>
        <v>0</v>
      </c>
      <c r="C131" s="30"/>
      <c r="D131" s="31"/>
    </row>
    <row r="132" spans="1:9" x14ac:dyDescent="0.3">
      <c r="A132" s="1"/>
      <c r="B132" s="6"/>
      <c r="C132" s="2"/>
      <c r="D132" s="2"/>
    </row>
    <row r="133" spans="1:9" ht="15" thickBot="1" x14ac:dyDescent="0.35">
      <c r="A133" s="1"/>
      <c r="B133" s="6"/>
      <c r="C133" s="2"/>
      <c r="D133" s="2"/>
    </row>
    <row r="134" spans="1:9" ht="21" x14ac:dyDescent="0.4">
      <c r="A134" s="40" t="s">
        <v>49</v>
      </c>
      <c r="B134" s="35"/>
      <c r="C134" s="36"/>
      <c r="D134" s="37"/>
    </row>
    <row r="135" spans="1:9" x14ac:dyDescent="0.3">
      <c r="A135" s="23">
        <v>1</v>
      </c>
      <c r="B135" s="26"/>
      <c r="C135" s="2"/>
      <c r="D135" s="146"/>
    </row>
    <row r="136" spans="1:9" hidden="1" x14ac:dyDescent="0.3">
      <c r="A136" s="41">
        <v>2</v>
      </c>
      <c r="B136" s="26"/>
      <c r="C136" s="43"/>
      <c r="D136" s="146"/>
    </row>
    <row r="137" spans="1:9" hidden="1" x14ac:dyDescent="0.3">
      <c r="A137" s="23">
        <v>3</v>
      </c>
      <c r="B137" s="26"/>
      <c r="C137" s="43"/>
      <c r="D137" s="146"/>
    </row>
    <row r="138" spans="1:9" hidden="1" x14ac:dyDescent="0.3">
      <c r="A138" s="23">
        <v>4</v>
      </c>
      <c r="B138" s="26"/>
      <c r="C138" s="2"/>
      <c r="D138" s="146"/>
    </row>
    <row r="139" spans="1:9" hidden="1" x14ac:dyDescent="0.3">
      <c r="A139" s="23">
        <v>5</v>
      </c>
      <c r="B139" s="26"/>
      <c r="C139" s="2"/>
      <c r="D139" s="146"/>
    </row>
    <row r="140" spans="1:9" hidden="1" x14ac:dyDescent="0.3">
      <c r="A140" s="23">
        <v>6</v>
      </c>
      <c r="B140" s="26"/>
      <c r="C140" s="43"/>
      <c r="D140" s="146"/>
    </row>
    <row r="141" spans="1:9" ht="15" thickBot="1" x14ac:dyDescent="0.35">
      <c r="A141" s="38"/>
      <c r="B141" s="39"/>
      <c r="C141" s="30"/>
      <c r="D141" s="31"/>
    </row>
    <row r="142" spans="1:9" x14ac:dyDescent="0.3">
      <c r="A142" s="1"/>
      <c r="B142" s="6"/>
      <c r="C142" s="2"/>
      <c r="D142" s="2"/>
    </row>
    <row r="143" spans="1:9" ht="21" hidden="1" x14ac:dyDescent="0.3">
      <c r="A143" s="145" t="s">
        <v>50</v>
      </c>
      <c r="B143" s="35"/>
      <c r="C143" s="36"/>
      <c r="D143" s="37"/>
    </row>
    <row r="144" spans="1:9" hidden="1" x14ac:dyDescent="0.3">
      <c r="A144" s="23"/>
      <c r="B144" s="26"/>
      <c r="C144" s="2"/>
      <c r="D144" s="22"/>
    </row>
    <row r="145" spans="1:4" hidden="1" x14ac:dyDescent="0.3">
      <c r="A145" s="41">
        <v>1</v>
      </c>
      <c r="B145" s="148" t="s">
        <v>51</v>
      </c>
      <c r="C145" s="147" t="s">
        <v>52</v>
      </c>
      <c r="D145" s="146">
        <v>1500</v>
      </c>
    </row>
    <row r="146" spans="1:4" hidden="1" x14ac:dyDescent="0.3">
      <c r="A146" s="23">
        <v>2</v>
      </c>
      <c r="B146" s="148" t="s">
        <v>53</v>
      </c>
      <c r="C146" s="147" t="s">
        <v>52</v>
      </c>
      <c r="D146" s="146">
        <v>3400</v>
      </c>
    </row>
    <row r="147" spans="1:4" hidden="1" x14ac:dyDescent="0.3">
      <c r="A147" s="23">
        <v>2</v>
      </c>
      <c r="B147" s="148" t="s">
        <v>54</v>
      </c>
      <c r="C147" s="1" t="s">
        <v>52</v>
      </c>
      <c r="D147" s="146">
        <v>10000</v>
      </c>
    </row>
    <row r="148" spans="1:4" hidden="1" x14ac:dyDescent="0.3">
      <c r="A148" s="23">
        <v>4</v>
      </c>
      <c r="B148" s="148" t="s">
        <v>55</v>
      </c>
      <c r="C148" s="1" t="s">
        <v>56</v>
      </c>
      <c r="D148" s="146">
        <v>2000</v>
      </c>
    </row>
    <row r="149" spans="1:4" hidden="1" x14ac:dyDescent="0.3">
      <c r="A149" s="23"/>
      <c r="B149" s="26"/>
      <c r="C149" s="43"/>
      <c r="D149" s="22"/>
    </row>
    <row r="150" spans="1:4" ht="15" hidden="1" thickBot="1" x14ac:dyDescent="0.35">
      <c r="A150" s="38"/>
      <c r="B150" s="39"/>
      <c r="C150" s="30"/>
      <c r="D150" s="31"/>
    </row>
    <row r="151" spans="1:4" hidden="1" x14ac:dyDescent="0.3">
      <c r="A151" s="1"/>
      <c r="B151" s="6"/>
      <c r="C151" s="2"/>
      <c r="D151" s="2"/>
    </row>
    <row r="152" spans="1:4" x14ac:dyDescent="0.3">
      <c r="A152" s="1"/>
      <c r="B152" s="6"/>
      <c r="C152" s="2"/>
      <c r="D152" s="2"/>
    </row>
    <row r="153" spans="1:4" x14ac:dyDescent="0.3">
      <c r="A153" s="1"/>
      <c r="B153" s="6"/>
      <c r="C153" s="2"/>
      <c r="D153" s="2"/>
    </row>
    <row r="154" spans="1:4" x14ac:dyDescent="0.3">
      <c r="A154" s="1"/>
      <c r="B154" s="6"/>
      <c r="C154" s="2"/>
      <c r="D154" s="2"/>
    </row>
    <row r="155" spans="1:4" x14ac:dyDescent="0.3">
      <c r="A155" s="1"/>
      <c r="B155" s="6"/>
      <c r="C155" s="2"/>
      <c r="D155" s="2"/>
    </row>
    <row r="156" spans="1:4" x14ac:dyDescent="0.3">
      <c r="A156" s="1"/>
      <c r="B156" s="6"/>
      <c r="C156" s="2"/>
      <c r="D156" s="2"/>
    </row>
    <row r="157" spans="1:4" x14ac:dyDescent="0.3">
      <c r="A157" s="1"/>
      <c r="B157" s="6"/>
      <c r="C157" s="2"/>
      <c r="D157" s="2"/>
    </row>
    <row r="158" spans="1:4" x14ac:dyDescent="0.3">
      <c r="A158" s="1"/>
      <c r="B158" s="6"/>
      <c r="C158" s="2"/>
      <c r="D158" s="2"/>
    </row>
    <row r="159" spans="1:4" x14ac:dyDescent="0.3">
      <c r="A159" s="1"/>
      <c r="B159" s="6"/>
      <c r="C159" s="2"/>
      <c r="D159" s="2"/>
    </row>
    <row r="160" spans="1:4" x14ac:dyDescent="0.3">
      <c r="A160" s="1"/>
      <c r="B160" s="6"/>
      <c r="C160" s="2"/>
      <c r="D160" s="2"/>
    </row>
    <row r="161" spans="1:4" x14ac:dyDescent="0.3">
      <c r="A161" s="1"/>
      <c r="B161" s="6"/>
      <c r="C161" s="2"/>
      <c r="D161" s="2"/>
    </row>
    <row r="162" spans="1:4" x14ac:dyDescent="0.3">
      <c r="A162" s="1"/>
      <c r="B162" s="6"/>
      <c r="C162" s="2"/>
      <c r="D162" s="2"/>
    </row>
    <row r="163" spans="1:4" x14ac:dyDescent="0.3">
      <c r="A163" s="1"/>
      <c r="B163" s="6"/>
      <c r="C163" s="2"/>
      <c r="D163" s="2"/>
    </row>
    <row r="164" spans="1:4" x14ac:dyDescent="0.3">
      <c r="A164" s="1"/>
      <c r="B164" s="6"/>
      <c r="C164" s="2"/>
      <c r="D164" s="2"/>
    </row>
    <row r="165" spans="1:4" x14ac:dyDescent="0.3">
      <c r="A165" s="1"/>
      <c r="B165" s="6"/>
      <c r="C165" s="2"/>
      <c r="D165" s="2"/>
    </row>
    <row r="166" spans="1:4" x14ac:dyDescent="0.3">
      <c r="A166" s="1"/>
      <c r="B166" s="6"/>
      <c r="C166" s="2"/>
      <c r="D166" s="2"/>
    </row>
    <row r="167" spans="1:4" x14ac:dyDescent="0.3">
      <c r="A167" s="1"/>
      <c r="B167" s="6"/>
      <c r="C167" s="2"/>
      <c r="D167" s="2"/>
    </row>
    <row r="168" spans="1:4" x14ac:dyDescent="0.3">
      <c r="A168" s="1"/>
      <c r="B168" s="6"/>
      <c r="C168" s="2"/>
      <c r="D168" s="2"/>
    </row>
    <row r="169" spans="1:4" x14ac:dyDescent="0.3">
      <c r="A169" s="1"/>
      <c r="B169" s="6"/>
      <c r="C169" s="2"/>
      <c r="D169" s="2"/>
    </row>
    <row r="170" spans="1:4" x14ac:dyDescent="0.3">
      <c r="A170" s="1"/>
      <c r="B170" s="6"/>
      <c r="C170" s="2"/>
      <c r="D170" s="2"/>
    </row>
    <row r="171" spans="1:4" x14ac:dyDescent="0.3">
      <c r="A171" s="1"/>
      <c r="B171" s="6"/>
      <c r="C171" s="2"/>
      <c r="D171" s="2"/>
    </row>
    <row r="172" spans="1:4" x14ac:dyDescent="0.3">
      <c r="A172" s="1"/>
      <c r="B172" s="6"/>
      <c r="C172" s="2"/>
      <c r="D172" s="2"/>
    </row>
    <row r="173" spans="1:4" x14ac:dyDescent="0.3">
      <c r="A173" s="1"/>
      <c r="B173" s="6"/>
      <c r="C173" s="2"/>
      <c r="D173" s="2"/>
    </row>
    <row r="174" spans="1:4" x14ac:dyDescent="0.3">
      <c r="A174" s="1"/>
      <c r="B174" s="6"/>
      <c r="C174" s="2"/>
      <c r="D174" s="2"/>
    </row>
    <row r="175" spans="1:4" x14ac:dyDescent="0.3">
      <c r="A175" s="1"/>
      <c r="B175" s="6"/>
      <c r="C175" s="2"/>
      <c r="D175" s="2"/>
    </row>
    <row r="176" spans="1:4" x14ac:dyDescent="0.3">
      <c r="A176" s="1"/>
      <c r="B176" s="6"/>
      <c r="C176" s="2"/>
      <c r="D176" s="2"/>
    </row>
    <row r="177" spans="1:4" x14ac:dyDescent="0.3">
      <c r="A177" s="1"/>
      <c r="B177" s="6"/>
      <c r="C177" s="2"/>
      <c r="D177" s="2"/>
    </row>
    <row r="178" spans="1:4" x14ac:dyDescent="0.3">
      <c r="A178" s="1"/>
      <c r="B178" s="6"/>
      <c r="C178" s="2"/>
      <c r="D178" s="2"/>
    </row>
    <row r="179" spans="1:4" x14ac:dyDescent="0.3">
      <c r="A179" s="1"/>
      <c r="B179" s="6"/>
      <c r="C179" s="2"/>
      <c r="D179" s="2"/>
    </row>
    <row r="180" spans="1:4" x14ac:dyDescent="0.3">
      <c r="A180" s="1"/>
      <c r="B180" s="6"/>
      <c r="C180" s="2"/>
      <c r="D180" s="2"/>
    </row>
    <row r="181" spans="1:4" x14ac:dyDescent="0.3">
      <c r="A181" s="1"/>
      <c r="B181" s="6"/>
      <c r="C181" s="2"/>
      <c r="D181" s="2"/>
    </row>
    <row r="182" spans="1:4" x14ac:dyDescent="0.3">
      <c r="A182" s="1"/>
      <c r="B182" s="6"/>
      <c r="C182" s="2"/>
      <c r="D182" s="2"/>
    </row>
    <row r="183" spans="1:4" x14ac:dyDescent="0.3">
      <c r="A183" s="1"/>
      <c r="B183" s="6"/>
      <c r="C183" s="2"/>
      <c r="D183" s="2"/>
    </row>
    <row r="184" spans="1:4" x14ac:dyDescent="0.3">
      <c r="A184" s="1"/>
      <c r="B184" s="6"/>
      <c r="C184" s="2"/>
      <c r="D184" s="2"/>
    </row>
    <row r="185" spans="1:4" x14ac:dyDescent="0.3">
      <c r="A185" s="1"/>
      <c r="B185" s="6"/>
      <c r="C185" s="2"/>
      <c r="D185" s="2"/>
    </row>
    <row r="186" spans="1:4" x14ac:dyDescent="0.3">
      <c r="A186" s="1"/>
      <c r="B186" s="6"/>
      <c r="C186" s="2"/>
      <c r="D186" s="2"/>
    </row>
    <row r="187" spans="1:4" x14ac:dyDescent="0.3">
      <c r="A187" s="1"/>
      <c r="B187" s="6"/>
      <c r="C187" s="2"/>
      <c r="D187" s="2"/>
    </row>
    <row r="188" spans="1:4" x14ac:dyDescent="0.3">
      <c r="A188" s="1"/>
      <c r="B188" s="6"/>
      <c r="C188" s="2"/>
      <c r="D188" s="2"/>
    </row>
    <row r="189" spans="1:4" x14ac:dyDescent="0.3">
      <c r="A189" s="1"/>
      <c r="B189" s="6"/>
      <c r="C189" s="2"/>
      <c r="D189" s="2"/>
    </row>
    <row r="190" spans="1:4" x14ac:dyDescent="0.3">
      <c r="A190" s="1"/>
      <c r="B190" s="6"/>
      <c r="C190" s="2"/>
      <c r="D190" s="2"/>
    </row>
    <row r="191" spans="1:4" x14ac:dyDescent="0.3">
      <c r="A191" s="1"/>
      <c r="B191" s="6"/>
      <c r="C191" s="2"/>
      <c r="D191" s="2"/>
    </row>
    <row r="192" spans="1:4" x14ac:dyDescent="0.3">
      <c r="A192" s="1"/>
      <c r="B192" s="6"/>
      <c r="C192" s="2"/>
      <c r="D192" s="2"/>
    </row>
    <row r="193" spans="1:4" x14ac:dyDescent="0.3">
      <c r="A193" s="1"/>
      <c r="B193" s="6"/>
      <c r="C193" s="2"/>
      <c r="D193" s="2"/>
    </row>
    <row r="194" spans="1:4" x14ac:dyDescent="0.3">
      <c r="A194" s="1"/>
      <c r="B194" s="6"/>
      <c r="C194" s="2"/>
      <c r="D194" s="2"/>
    </row>
    <row r="195" spans="1:4" x14ac:dyDescent="0.3">
      <c r="A195" s="1"/>
      <c r="B195" s="6"/>
      <c r="C195" s="2"/>
      <c r="D195" s="2"/>
    </row>
    <row r="196" spans="1:4" x14ac:dyDescent="0.3">
      <c r="A196" s="1"/>
      <c r="B196" s="6"/>
      <c r="C196" s="2"/>
      <c r="D196" s="2"/>
    </row>
    <row r="197" spans="1:4" x14ac:dyDescent="0.3">
      <c r="A197" s="1"/>
      <c r="B197" s="6"/>
      <c r="C197" s="2"/>
      <c r="D197" s="2"/>
    </row>
    <row r="198" spans="1:4" x14ac:dyDescent="0.3">
      <c r="A198" s="1"/>
      <c r="B198" s="6"/>
      <c r="C198" s="2"/>
      <c r="D198" s="2"/>
    </row>
    <row r="199" spans="1:4" x14ac:dyDescent="0.3">
      <c r="A199" s="1"/>
      <c r="B199" s="6"/>
      <c r="C199" s="2"/>
      <c r="D199" s="2"/>
    </row>
    <row r="200" spans="1:4" x14ac:dyDescent="0.3">
      <c r="A200" s="1"/>
      <c r="B200" s="6"/>
      <c r="C200" s="2"/>
      <c r="D200" s="2"/>
    </row>
    <row r="201" spans="1:4" x14ac:dyDescent="0.3">
      <c r="A201" s="1"/>
      <c r="B201" s="6"/>
      <c r="C201" s="2"/>
      <c r="D201" s="2"/>
    </row>
    <row r="202" spans="1:4" x14ac:dyDescent="0.3">
      <c r="A202" s="1"/>
      <c r="B202" s="6"/>
      <c r="C202" s="2"/>
      <c r="D202" s="2"/>
    </row>
    <row r="203" spans="1:4" x14ac:dyDescent="0.3">
      <c r="A203" s="1"/>
      <c r="B203" s="6"/>
      <c r="C203" s="2"/>
      <c r="D203" s="2"/>
    </row>
    <row r="204" spans="1:4" x14ac:dyDescent="0.3">
      <c r="A204" s="1"/>
      <c r="B204" s="6"/>
      <c r="C204" s="2"/>
      <c r="D204" s="2"/>
    </row>
    <row r="205" spans="1:4" x14ac:dyDescent="0.3">
      <c r="A205" s="1"/>
      <c r="B205" s="6"/>
      <c r="C205" s="2"/>
      <c r="D205" s="2"/>
    </row>
    <row r="206" spans="1:4" x14ac:dyDescent="0.3">
      <c r="A206" s="1"/>
      <c r="B206" s="6"/>
      <c r="C206" s="2"/>
      <c r="D206" s="2"/>
    </row>
    <row r="207" spans="1:4" x14ac:dyDescent="0.3">
      <c r="A207" s="1"/>
      <c r="B207" s="6"/>
      <c r="C207" s="2"/>
      <c r="D207" s="2"/>
    </row>
    <row r="208" spans="1:4" x14ac:dyDescent="0.3">
      <c r="A208" s="1"/>
      <c r="B208" s="6"/>
      <c r="C208" s="2"/>
      <c r="D208" s="2"/>
    </row>
    <row r="209" spans="1:4" x14ac:dyDescent="0.3">
      <c r="A209" s="1"/>
      <c r="B209" s="6"/>
      <c r="C209" s="2"/>
      <c r="D209" s="2"/>
    </row>
    <row r="210" spans="1:4" x14ac:dyDescent="0.3">
      <c r="A210" s="1"/>
      <c r="B210" s="6"/>
      <c r="C210" s="2"/>
      <c r="D210" s="2"/>
    </row>
    <row r="211" spans="1:4" x14ac:dyDescent="0.3">
      <c r="A211" s="1"/>
      <c r="B211" s="6"/>
      <c r="C211" s="2"/>
      <c r="D211" s="2"/>
    </row>
    <row r="212" spans="1:4" x14ac:dyDescent="0.3">
      <c r="A212" s="1"/>
      <c r="B212" s="6"/>
      <c r="C212" s="2"/>
      <c r="D212" s="2"/>
    </row>
    <row r="213" spans="1:4" x14ac:dyDescent="0.3">
      <c r="A213" s="1"/>
      <c r="B213" s="6"/>
      <c r="C213" s="2"/>
      <c r="D213" s="2"/>
    </row>
    <row r="214" spans="1:4" x14ac:dyDescent="0.3">
      <c r="A214" s="1"/>
      <c r="B214" s="6"/>
      <c r="C214" s="2"/>
      <c r="D214" s="2"/>
    </row>
    <row r="215" spans="1:4" x14ac:dyDescent="0.3">
      <c r="A215" s="1"/>
      <c r="B215" s="6"/>
      <c r="C215" s="2"/>
      <c r="D215" s="2"/>
    </row>
    <row r="216" spans="1:4" x14ac:dyDescent="0.3">
      <c r="A216" s="1"/>
      <c r="B216" s="6"/>
      <c r="C216" s="2"/>
      <c r="D216" s="2"/>
    </row>
    <row r="217" spans="1:4" x14ac:dyDescent="0.3">
      <c r="A217" s="1"/>
      <c r="B217" s="6"/>
      <c r="C217" s="2"/>
      <c r="D217" s="2"/>
    </row>
    <row r="218" spans="1:4" x14ac:dyDescent="0.3">
      <c r="A218" s="1"/>
      <c r="B218" s="6"/>
      <c r="C218" s="2"/>
      <c r="D218" s="2"/>
    </row>
    <row r="219" spans="1:4" x14ac:dyDescent="0.3">
      <c r="A219" s="1"/>
      <c r="B219" s="6"/>
      <c r="C219" s="2"/>
      <c r="D219" s="2"/>
    </row>
    <row r="220" spans="1:4" x14ac:dyDescent="0.3">
      <c r="A220" s="1"/>
      <c r="B220" s="6"/>
      <c r="C220" s="2"/>
      <c r="D220" s="2"/>
    </row>
    <row r="221" spans="1:4" x14ac:dyDescent="0.3">
      <c r="A221" s="1"/>
      <c r="B221" s="6"/>
      <c r="C221" s="2"/>
      <c r="D221" s="2"/>
    </row>
    <row r="222" spans="1:4" x14ac:dyDescent="0.3">
      <c r="A222" s="1"/>
      <c r="B222" s="6"/>
      <c r="C222" s="2"/>
      <c r="D222" s="2"/>
    </row>
    <row r="223" spans="1:4" x14ac:dyDescent="0.3">
      <c r="A223" s="1"/>
      <c r="B223" s="6"/>
      <c r="C223" s="2"/>
      <c r="D223" s="2"/>
    </row>
    <row r="224" spans="1:4" x14ac:dyDescent="0.3">
      <c r="A224" s="1"/>
      <c r="B224" s="6"/>
      <c r="C224" s="2"/>
      <c r="D224" s="2"/>
    </row>
    <row r="225" spans="1:4" x14ac:dyDescent="0.3">
      <c r="A225" s="1"/>
      <c r="B225" s="6"/>
      <c r="C225" s="2"/>
      <c r="D225" s="2"/>
    </row>
    <row r="226" spans="1:4" x14ac:dyDescent="0.3">
      <c r="A226" s="1"/>
      <c r="B226" s="6"/>
      <c r="C226" s="2"/>
      <c r="D226" s="2"/>
    </row>
    <row r="227" spans="1:4" x14ac:dyDescent="0.3">
      <c r="A227" s="1"/>
      <c r="B227" s="6"/>
      <c r="C227" s="2"/>
      <c r="D227" s="2"/>
    </row>
    <row r="228" spans="1:4" x14ac:dyDescent="0.3">
      <c r="A228" s="1"/>
      <c r="B228" s="6"/>
      <c r="C228" s="2"/>
      <c r="D228" s="2"/>
    </row>
    <row r="229" spans="1:4" x14ac:dyDescent="0.3">
      <c r="A229" s="1"/>
      <c r="B229" s="6"/>
      <c r="C229" s="2"/>
      <c r="D229" s="2"/>
    </row>
    <row r="230" spans="1:4" x14ac:dyDescent="0.3">
      <c r="A230" s="1"/>
      <c r="B230" s="6"/>
      <c r="C230" s="2"/>
      <c r="D230" s="2"/>
    </row>
    <row r="231" spans="1:4" x14ac:dyDescent="0.3">
      <c r="A231" s="1"/>
      <c r="B231" s="6"/>
      <c r="C231" s="2"/>
      <c r="D231" s="2"/>
    </row>
    <row r="232" spans="1:4" x14ac:dyDescent="0.3">
      <c r="A232" s="1"/>
      <c r="B232" s="6"/>
      <c r="C232" s="2"/>
      <c r="D232" s="2"/>
    </row>
    <row r="233" spans="1:4" x14ac:dyDescent="0.3">
      <c r="A233" s="1"/>
      <c r="B233" s="6"/>
      <c r="C233" s="2"/>
      <c r="D233" s="2"/>
    </row>
    <row r="234" spans="1:4" x14ac:dyDescent="0.3">
      <c r="A234" s="1"/>
      <c r="B234" s="6"/>
      <c r="C234" s="2"/>
      <c r="D234" s="2"/>
    </row>
    <row r="235" spans="1:4" x14ac:dyDescent="0.3">
      <c r="A235" s="1"/>
      <c r="B235" s="6"/>
      <c r="C235" s="2"/>
      <c r="D235" s="2"/>
    </row>
    <row r="236" spans="1:4" x14ac:dyDescent="0.3">
      <c r="A236" s="1"/>
      <c r="B236" s="6"/>
      <c r="C236" s="2"/>
      <c r="D236" s="2"/>
    </row>
    <row r="237" spans="1:4" x14ac:dyDescent="0.3">
      <c r="A237" s="1"/>
      <c r="B237" s="6"/>
      <c r="C237" s="2"/>
      <c r="D237" s="2"/>
    </row>
    <row r="238" spans="1:4" x14ac:dyDescent="0.3">
      <c r="A238" s="1"/>
      <c r="B238" s="6"/>
      <c r="C238" s="2"/>
      <c r="D238" s="2"/>
    </row>
    <row r="239" spans="1:4" x14ac:dyDescent="0.3">
      <c r="A239" s="1"/>
      <c r="B239" s="6"/>
      <c r="C239" s="2"/>
      <c r="D239" s="2"/>
    </row>
    <row r="240" spans="1:4" x14ac:dyDescent="0.3">
      <c r="A240" s="1"/>
      <c r="B240" s="6"/>
      <c r="C240" s="2"/>
      <c r="D240" s="2"/>
    </row>
    <row r="241" spans="1:4" x14ac:dyDescent="0.3">
      <c r="A241" s="1"/>
      <c r="B241" s="6"/>
      <c r="C241" s="2"/>
      <c r="D241" s="2"/>
    </row>
    <row r="242" spans="1:4" x14ac:dyDescent="0.3">
      <c r="A242" s="1"/>
      <c r="B242" s="6"/>
      <c r="C242" s="2"/>
      <c r="D242" s="2"/>
    </row>
    <row r="243" spans="1:4" x14ac:dyDescent="0.3">
      <c r="A243" s="1"/>
      <c r="B243" s="6"/>
      <c r="C243" s="2"/>
      <c r="D243" s="2"/>
    </row>
    <row r="244" spans="1:4" x14ac:dyDescent="0.3">
      <c r="A244" s="1"/>
      <c r="B244" s="6"/>
      <c r="C244" s="2"/>
      <c r="D244" s="2"/>
    </row>
    <row r="245" spans="1:4" x14ac:dyDescent="0.3">
      <c r="A245" s="1"/>
      <c r="B245" s="6"/>
      <c r="C245" s="2"/>
      <c r="D245" s="2"/>
    </row>
    <row r="246" spans="1:4" x14ac:dyDescent="0.3">
      <c r="A246" s="1"/>
      <c r="B246" s="6"/>
      <c r="C246" s="2"/>
      <c r="D246" s="2"/>
    </row>
    <row r="247" spans="1:4" x14ac:dyDescent="0.3">
      <c r="A247" s="1"/>
      <c r="B247" s="6"/>
      <c r="C247" s="2"/>
      <c r="D247" s="2"/>
    </row>
    <row r="248" spans="1:4" x14ac:dyDescent="0.3">
      <c r="A248" s="1"/>
      <c r="B248" s="6"/>
      <c r="C248" s="2"/>
      <c r="D248" s="2"/>
    </row>
    <row r="249" spans="1:4" x14ac:dyDescent="0.3">
      <c r="A249" s="1"/>
      <c r="B249" s="6"/>
      <c r="C249" s="2"/>
      <c r="D249" s="2"/>
    </row>
    <row r="250" spans="1:4" x14ac:dyDescent="0.3">
      <c r="A250" s="1"/>
      <c r="B250" s="6"/>
      <c r="C250" s="2"/>
      <c r="D250" s="2"/>
    </row>
    <row r="251" spans="1:4" x14ac:dyDescent="0.3">
      <c r="A251" s="1"/>
      <c r="B251" s="6"/>
      <c r="C251" s="2"/>
      <c r="D251" s="2"/>
    </row>
  </sheetData>
  <mergeCells count="32">
    <mergeCell ref="A116:D116"/>
    <mergeCell ref="A120:D120"/>
    <mergeCell ref="A89:D89"/>
    <mergeCell ref="A93:D93"/>
    <mergeCell ref="A97:D97"/>
    <mergeCell ref="A104:D104"/>
    <mergeCell ref="A108:D108"/>
    <mergeCell ref="A112:D112"/>
    <mergeCell ref="A85:D85"/>
    <mergeCell ref="A29:D29"/>
    <mergeCell ref="A34:D34"/>
    <mergeCell ref="A38:D38"/>
    <mergeCell ref="A44:D44"/>
    <mergeCell ref="A50:D50"/>
    <mergeCell ref="A58:D58"/>
    <mergeCell ref="A63:D63"/>
    <mergeCell ref="A69:D69"/>
    <mergeCell ref="A73:D73"/>
    <mergeCell ref="A77:D77"/>
    <mergeCell ref="A81:D81"/>
    <mergeCell ref="A25:D25"/>
    <mergeCell ref="A1:D1"/>
    <mergeCell ref="A2:B2"/>
    <mergeCell ref="C2:D2"/>
    <mergeCell ref="A3:D3"/>
    <mergeCell ref="A4:B4"/>
    <mergeCell ref="B8:D8"/>
    <mergeCell ref="B9:D9"/>
    <mergeCell ref="A11:D11"/>
    <mergeCell ref="A13:D13"/>
    <mergeCell ref="A17:D17"/>
    <mergeCell ref="A21:D21"/>
  </mergeCells>
  <conditionalFormatting sqref="B14:B15">
    <cfRule type="expression" dxfId="42" priority="26">
      <formula>IF(B14="",TRUE,FALSE)</formula>
    </cfRule>
  </conditionalFormatting>
  <conditionalFormatting sqref="B18:B19">
    <cfRule type="expression" dxfId="41" priority="27">
      <formula>IF(B18="",TRUE,FALSE)</formula>
    </cfRule>
  </conditionalFormatting>
  <conditionalFormatting sqref="B22:B23">
    <cfRule type="expression" dxfId="40" priority="18">
      <formula>IF(B22="",TRUE,FALSE)</formula>
    </cfRule>
  </conditionalFormatting>
  <conditionalFormatting sqref="B26:B27">
    <cfRule type="expression" dxfId="39" priority="6">
      <formula>IF(B26="",TRUE,FALSE)</formula>
    </cfRule>
  </conditionalFormatting>
  <conditionalFormatting sqref="B30:B32">
    <cfRule type="expression" dxfId="38" priority="20">
      <formula>IF(B30="",TRUE,FALSE)</formula>
    </cfRule>
  </conditionalFormatting>
  <conditionalFormatting sqref="B35:B36">
    <cfRule type="expression" dxfId="37" priority="22">
      <formula>IF(B35="",TRUE,FALSE)</formula>
    </cfRule>
  </conditionalFormatting>
  <conditionalFormatting sqref="B39:B42">
    <cfRule type="expression" dxfId="36" priority="45">
      <formula>IF(B39="",TRUE,FALSE)</formula>
    </cfRule>
  </conditionalFormatting>
  <conditionalFormatting sqref="B45:B48">
    <cfRule type="expression" dxfId="35" priority="40">
      <formula>IF(B45="",TRUE,FALSE)</formula>
    </cfRule>
  </conditionalFormatting>
  <conditionalFormatting sqref="B51:B56">
    <cfRule type="expression" dxfId="34" priority="39">
      <formula>IF(B51="",TRUE,FALSE)</formula>
    </cfRule>
  </conditionalFormatting>
  <conditionalFormatting sqref="B59:B61">
    <cfRule type="expression" dxfId="33" priority="38">
      <formula>IF(B59="",TRUE,FALSE)</formula>
    </cfRule>
  </conditionalFormatting>
  <conditionalFormatting sqref="B64:B67">
    <cfRule type="expression" dxfId="32" priority="16">
      <formula>IF(B64="",TRUE,FALSE)</formula>
    </cfRule>
  </conditionalFormatting>
  <conditionalFormatting sqref="B70:B71">
    <cfRule type="expression" dxfId="31" priority="15">
      <formula>IF(B70="",TRUE,FALSE)</formula>
    </cfRule>
  </conditionalFormatting>
  <conditionalFormatting sqref="B74:B75">
    <cfRule type="expression" dxfId="30" priority="14">
      <formula>IF(B74="",TRUE,FALSE)</formula>
    </cfRule>
  </conditionalFormatting>
  <conditionalFormatting sqref="B78:B79">
    <cfRule type="expression" dxfId="29" priority="34">
      <formula>IF(B78="",TRUE,FALSE)</formula>
    </cfRule>
  </conditionalFormatting>
  <conditionalFormatting sqref="B82:B83">
    <cfRule type="expression" dxfId="28" priority="33">
      <formula>IF(B82="",TRUE,FALSE)</formula>
    </cfRule>
  </conditionalFormatting>
  <conditionalFormatting sqref="B86:B87">
    <cfRule type="expression" dxfId="27" priority="32">
      <formula>IF(B86="",TRUE,FALSE)</formula>
    </cfRule>
  </conditionalFormatting>
  <conditionalFormatting sqref="B90:B91">
    <cfRule type="expression" dxfId="26" priority="4">
      <formula>IF(B90="",TRUE,FALSE)</formula>
    </cfRule>
  </conditionalFormatting>
  <conditionalFormatting sqref="B94:B95">
    <cfRule type="expression" dxfId="25" priority="12">
      <formula>IF(B94="",TRUE,FALSE)</formula>
    </cfRule>
  </conditionalFormatting>
  <conditionalFormatting sqref="B98:B102">
    <cfRule type="expression" dxfId="24" priority="30">
      <formula>IF(B98="",TRUE,FALSE)</formula>
    </cfRule>
  </conditionalFormatting>
  <conditionalFormatting sqref="B105:B106">
    <cfRule type="expression" dxfId="23" priority="23">
      <formula>IF(B105="",TRUE,FALSE)</formula>
    </cfRule>
  </conditionalFormatting>
  <conditionalFormatting sqref="B109:B110">
    <cfRule type="expression" dxfId="22" priority="29">
      <formula>IF(B109="",TRUE,FALSE)</formula>
    </cfRule>
  </conditionalFormatting>
  <conditionalFormatting sqref="B113:B114">
    <cfRule type="expression" dxfId="21" priority="10">
      <formula>IF(B113="",TRUE,FALSE)</formula>
    </cfRule>
  </conditionalFormatting>
  <conditionalFormatting sqref="B117:B118">
    <cfRule type="expression" dxfId="20" priority="2">
      <formula>IF(B117="",TRUE,FALSE)</formula>
    </cfRule>
  </conditionalFormatting>
  <conditionalFormatting sqref="B121:B123">
    <cfRule type="expression" dxfId="19" priority="8">
      <formula>IF(B121="",TRUE,FALSE)</formula>
    </cfRule>
  </conditionalFormatting>
  <conditionalFormatting sqref="F12:F124">
    <cfRule type="expression" dxfId="18" priority="1">
      <formula>IF(C12="Internal Estimate",TRUE, FALSE)</formula>
    </cfRule>
  </conditionalFormatting>
  <hyperlinks>
    <hyperlink ref="C5" r:id="rId1" xr:uid="{00000000-0004-0000-0000-000000000000}"/>
    <hyperlink ref="C6" r:id="rId2" xr:uid="{00000000-0004-0000-0000-000001000000}"/>
  </hyperlinks>
  <pageMargins left="0.5" right="0.5" top="0.75" bottom="0.75" header="0.3" footer="0.3"/>
  <pageSetup scale="77" fitToHeight="0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6"/>
  <sheetViews>
    <sheetView zoomScale="120" zoomScaleNormal="120" workbookViewId="0">
      <selection activeCell="E43" sqref="E43"/>
    </sheetView>
  </sheetViews>
  <sheetFormatPr defaultRowHeight="14.4" x14ac:dyDescent="0.3"/>
  <cols>
    <col min="1" max="1" width="11" style="9" bestFit="1" customWidth="1"/>
    <col min="2" max="2" width="29.5546875" bestFit="1" customWidth="1"/>
    <col min="3" max="3" width="12.88671875" style="5" bestFit="1" customWidth="1"/>
    <col min="7" max="7" width="11.109375" bestFit="1" customWidth="1"/>
  </cols>
  <sheetData>
    <row r="1" spans="1:7" x14ac:dyDescent="0.3">
      <c r="B1" t="s">
        <v>57</v>
      </c>
      <c r="C1" s="44"/>
      <c r="D1" t="s">
        <v>58</v>
      </c>
      <c r="E1" s="45"/>
      <c r="F1" t="s">
        <v>59</v>
      </c>
    </row>
    <row r="3" spans="1:7" x14ac:dyDescent="0.3">
      <c r="A3" s="312" t="s">
        <v>60</v>
      </c>
      <c r="B3" s="312"/>
      <c r="C3" s="312"/>
      <c r="E3" t="s">
        <v>61</v>
      </c>
      <c r="F3" t="s">
        <v>62</v>
      </c>
      <c r="G3" t="s">
        <v>63</v>
      </c>
    </row>
    <row r="4" spans="1:7" x14ac:dyDescent="0.3">
      <c r="A4" s="7" t="s">
        <v>64</v>
      </c>
      <c r="B4" t="s">
        <v>65</v>
      </c>
      <c r="C4" s="5">
        <f t="shared" ref="C4:C35" si="0">E4*G4</f>
        <v>0</v>
      </c>
      <c r="E4" s="45">
        <f>G1</f>
        <v>0</v>
      </c>
      <c r="F4" t="s">
        <v>59</v>
      </c>
      <c r="G4" s="5">
        <v>3115</v>
      </c>
    </row>
    <row r="5" spans="1:7" x14ac:dyDescent="0.3">
      <c r="A5" s="7" t="s">
        <v>66</v>
      </c>
      <c r="B5" t="s">
        <v>67</v>
      </c>
      <c r="C5" s="5">
        <f t="shared" si="0"/>
        <v>0</v>
      </c>
      <c r="E5" s="45">
        <f>G1</f>
        <v>0</v>
      </c>
      <c r="F5" t="s">
        <v>59</v>
      </c>
      <c r="G5" s="5">
        <v>2596</v>
      </c>
    </row>
    <row r="6" spans="1:7" x14ac:dyDescent="0.3">
      <c r="A6" s="7" t="s">
        <v>68</v>
      </c>
      <c r="B6" t="s">
        <v>69</v>
      </c>
      <c r="C6" s="5">
        <f t="shared" si="0"/>
        <v>0</v>
      </c>
      <c r="E6" s="45">
        <f>G1</f>
        <v>0</v>
      </c>
      <c r="F6" t="s">
        <v>59</v>
      </c>
      <c r="G6" s="5">
        <v>2800</v>
      </c>
    </row>
    <row r="7" spans="1:7" x14ac:dyDescent="0.3">
      <c r="A7" s="7" t="s">
        <v>70</v>
      </c>
      <c r="B7" t="s">
        <v>71</v>
      </c>
      <c r="C7" s="5">
        <f t="shared" si="0"/>
        <v>0</v>
      </c>
      <c r="E7" s="45">
        <f>G1</f>
        <v>0</v>
      </c>
      <c r="F7" t="s">
        <v>59</v>
      </c>
      <c r="G7" s="5">
        <v>2100</v>
      </c>
    </row>
    <row r="8" spans="1:7" x14ac:dyDescent="0.3">
      <c r="A8" s="8" t="s">
        <v>72</v>
      </c>
      <c r="B8" t="s">
        <v>73</v>
      </c>
      <c r="C8" s="5">
        <f t="shared" si="0"/>
        <v>0</v>
      </c>
      <c r="E8" s="45">
        <f>G1</f>
        <v>0</v>
      </c>
      <c r="F8" t="s">
        <v>59</v>
      </c>
      <c r="G8" s="5">
        <v>1500</v>
      </c>
    </row>
    <row r="9" spans="1:7" x14ac:dyDescent="0.3">
      <c r="A9" s="9" t="s">
        <v>74</v>
      </c>
      <c r="B9" t="s">
        <v>75</v>
      </c>
      <c r="C9" s="5">
        <f t="shared" si="0"/>
        <v>0</v>
      </c>
      <c r="E9" s="45">
        <f>G1</f>
        <v>0</v>
      </c>
      <c r="F9" t="s">
        <v>59</v>
      </c>
      <c r="G9" s="5">
        <v>1100</v>
      </c>
    </row>
    <row r="10" spans="1:7" x14ac:dyDescent="0.3">
      <c r="A10" s="9" t="s">
        <v>76</v>
      </c>
      <c r="B10" t="s">
        <v>77</v>
      </c>
      <c r="C10" s="5">
        <f t="shared" si="0"/>
        <v>0</v>
      </c>
      <c r="E10" s="45">
        <f>G1</f>
        <v>0</v>
      </c>
      <c r="F10" t="s">
        <v>59</v>
      </c>
      <c r="G10" s="5">
        <v>1100</v>
      </c>
    </row>
    <row r="11" spans="1:7" x14ac:dyDescent="0.3">
      <c r="A11" s="9" t="s">
        <v>78</v>
      </c>
      <c r="B11" t="s">
        <v>79</v>
      </c>
      <c r="C11" s="5">
        <f t="shared" si="0"/>
        <v>0</v>
      </c>
      <c r="E11" s="45">
        <f>G1</f>
        <v>0</v>
      </c>
      <c r="F11" t="s">
        <v>59</v>
      </c>
      <c r="G11" s="5">
        <v>850</v>
      </c>
    </row>
    <row r="12" spans="1:7" x14ac:dyDescent="0.3">
      <c r="A12" s="9" t="s">
        <v>80</v>
      </c>
      <c r="B12" t="s">
        <v>81</v>
      </c>
      <c r="C12" s="5">
        <f t="shared" si="0"/>
        <v>0</v>
      </c>
      <c r="E12" s="45">
        <f>G1</f>
        <v>0</v>
      </c>
      <c r="F12" t="s">
        <v>59</v>
      </c>
      <c r="G12" s="5">
        <v>2800</v>
      </c>
    </row>
    <row r="13" spans="1:7" x14ac:dyDescent="0.3">
      <c r="A13" s="9" t="s">
        <v>82</v>
      </c>
      <c r="B13" t="s">
        <v>83</v>
      </c>
      <c r="C13" s="5">
        <f t="shared" si="0"/>
        <v>0</v>
      </c>
      <c r="E13" s="45">
        <f>G1</f>
        <v>0</v>
      </c>
      <c r="F13" t="s">
        <v>59</v>
      </c>
      <c r="G13" s="5">
        <v>2500</v>
      </c>
    </row>
    <row r="14" spans="1:7" x14ac:dyDescent="0.3">
      <c r="A14" s="9" t="s">
        <v>84</v>
      </c>
      <c r="B14" t="s">
        <v>85</v>
      </c>
      <c r="C14" s="5">
        <f t="shared" si="0"/>
        <v>0</v>
      </c>
      <c r="E14" s="45">
        <f>G1</f>
        <v>0</v>
      </c>
      <c r="F14" t="s">
        <v>59</v>
      </c>
      <c r="G14" s="5">
        <v>2100</v>
      </c>
    </row>
    <row r="15" spans="1:7" x14ac:dyDescent="0.3">
      <c r="A15" s="9" t="s">
        <v>86</v>
      </c>
      <c r="B15" t="s">
        <v>87</v>
      </c>
      <c r="C15" s="5">
        <f t="shared" si="0"/>
        <v>0</v>
      </c>
      <c r="E15" s="45">
        <f>G1</f>
        <v>0</v>
      </c>
      <c r="F15" t="s">
        <v>59</v>
      </c>
      <c r="G15" s="5">
        <v>650</v>
      </c>
    </row>
    <row r="16" spans="1:7" x14ac:dyDescent="0.3">
      <c r="A16" s="9" t="s">
        <v>88</v>
      </c>
      <c r="B16" t="s">
        <v>89</v>
      </c>
      <c r="C16" s="5">
        <f t="shared" si="0"/>
        <v>0</v>
      </c>
      <c r="E16" s="45">
        <f>E1</f>
        <v>0</v>
      </c>
      <c r="F16" t="s">
        <v>58</v>
      </c>
      <c r="G16" s="5">
        <v>150</v>
      </c>
    </row>
    <row r="17" spans="1:7" x14ac:dyDescent="0.3">
      <c r="A17" s="9" t="s">
        <v>90</v>
      </c>
      <c r="B17" t="s">
        <v>91</v>
      </c>
      <c r="C17" s="5">
        <f t="shared" si="0"/>
        <v>0</v>
      </c>
      <c r="E17" s="45">
        <f>E1</f>
        <v>0</v>
      </c>
      <c r="F17" t="s">
        <v>58</v>
      </c>
      <c r="G17" s="5">
        <v>350</v>
      </c>
    </row>
    <row r="18" spans="1:7" x14ac:dyDescent="0.3">
      <c r="A18" s="9" t="s">
        <v>92</v>
      </c>
      <c r="B18" t="s">
        <v>93</v>
      </c>
      <c r="C18" s="5">
        <f t="shared" si="0"/>
        <v>0</v>
      </c>
      <c r="E18" s="45">
        <v>1</v>
      </c>
      <c r="F18" t="s">
        <v>94</v>
      </c>
      <c r="G18" s="5"/>
    </row>
    <row r="19" spans="1:7" x14ac:dyDescent="0.3">
      <c r="A19" s="9" t="s">
        <v>95</v>
      </c>
      <c r="B19" t="s">
        <v>96</v>
      </c>
      <c r="C19" s="5">
        <f t="shared" si="0"/>
        <v>0</v>
      </c>
      <c r="E19" s="45">
        <f>E1</f>
        <v>0</v>
      </c>
      <c r="F19" t="s">
        <v>58</v>
      </c>
      <c r="G19" s="5">
        <v>500</v>
      </c>
    </row>
    <row r="20" spans="1:7" x14ac:dyDescent="0.3">
      <c r="A20" s="9" t="s">
        <v>97</v>
      </c>
      <c r="B20" t="s">
        <v>98</v>
      </c>
      <c r="C20" s="5">
        <f t="shared" si="0"/>
        <v>0</v>
      </c>
      <c r="E20" s="45">
        <f>E1</f>
        <v>0</v>
      </c>
      <c r="F20" t="s">
        <v>58</v>
      </c>
      <c r="G20" s="5">
        <v>500</v>
      </c>
    </row>
    <row r="21" spans="1:7" x14ac:dyDescent="0.3">
      <c r="A21" s="9" t="s">
        <v>99</v>
      </c>
      <c r="B21" t="s">
        <v>100</v>
      </c>
      <c r="C21" s="5">
        <f t="shared" si="0"/>
        <v>0</v>
      </c>
      <c r="E21" s="45">
        <f>E1</f>
        <v>0</v>
      </c>
      <c r="F21" t="s">
        <v>58</v>
      </c>
      <c r="G21" s="5">
        <v>750</v>
      </c>
    </row>
    <row r="22" spans="1:7" x14ac:dyDescent="0.3">
      <c r="A22" s="9" t="s">
        <v>101</v>
      </c>
      <c r="B22" t="s">
        <v>102</v>
      </c>
      <c r="C22" s="5">
        <f t="shared" si="0"/>
        <v>0</v>
      </c>
      <c r="E22" s="45">
        <f>E1</f>
        <v>0</v>
      </c>
      <c r="F22" t="s">
        <v>58</v>
      </c>
      <c r="G22" s="5">
        <v>650</v>
      </c>
    </row>
    <row r="23" spans="1:7" x14ac:dyDescent="0.3">
      <c r="A23" s="9" t="s">
        <v>103</v>
      </c>
      <c r="B23" t="s">
        <v>104</v>
      </c>
      <c r="C23" s="5">
        <f t="shared" si="0"/>
        <v>0</v>
      </c>
      <c r="E23" s="45"/>
      <c r="F23" t="s">
        <v>94</v>
      </c>
      <c r="G23" s="5">
        <v>0</v>
      </c>
    </row>
    <row r="24" spans="1:7" x14ac:dyDescent="0.3">
      <c r="A24" s="9" t="s">
        <v>106</v>
      </c>
      <c r="B24" t="s">
        <v>107</v>
      </c>
      <c r="C24" s="5">
        <f t="shared" si="0"/>
        <v>0</v>
      </c>
      <c r="E24" s="45"/>
      <c r="F24" t="s">
        <v>111</v>
      </c>
      <c r="G24" s="5">
        <v>1.25</v>
      </c>
    </row>
    <row r="25" spans="1:7" x14ac:dyDescent="0.3">
      <c r="A25" s="9" t="s">
        <v>109</v>
      </c>
      <c r="B25" t="s">
        <v>110</v>
      </c>
      <c r="C25" s="5">
        <f t="shared" si="0"/>
        <v>0</v>
      </c>
      <c r="E25" s="45"/>
      <c r="F25" t="s">
        <v>111</v>
      </c>
      <c r="G25" s="5">
        <v>1.25</v>
      </c>
    </row>
    <row r="26" spans="1:7" x14ac:dyDescent="0.3">
      <c r="A26" s="9" t="s">
        <v>112</v>
      </c>
      <c r="B26" t="s">
        <v>113</v>
      </c>
      <c r="C26" s="5">
        <f t="shared" si="0"/>
        <v>0</v>
      </c>
      <c r="E26">
        <v>1</v>
      </c>
      <c r="F26" t="s">
        <v>94</v>
      </c>
      <c r="G26" s="5">
        <v>0</v>
      </c>
    </row>
    <row r="27" spans="1:7" x14ac:dyDescent="0.3">
      <c r="A27" s="9" t="s">
        <v>114</v>
      </c>
      <c r="B27" t="s">
        <v>115</v>
      </c>
      <c r="C27" s="5">
        <f t="shared" si="0"/>
        <v>0</v>
      </c>
      <c r="E27">
        <v>1</v>
      </c>
      <c r="F27" t="s">
        <v>94</v>
      </c>
      <c r="G27" s="5">
        <v>0</v>
      </c>
    </row>
    <row r="28" spans="1:7" x14ac:dyDescent="0.3">
      <c r="A28" s="9" t="s">
        <v>116</v>
      </c>
      <c r="B28" t="s">
        <v>117</v>
      </c>
      <c r="C28" s="5">
        <f t="shared" si="0"/>
        <v>0</v>
      </c>
      <c r="F28" t="s">
        <v>105</v>
      </c>
      <c r="G28" s="5">
        <v>0</v>
      </c>
    </row>
    <row r="29" spans="1:7" x14ac:dyDescent="0.3">
      <c r="A29" s="9" t="s">
        <v>118</v>
      </c>
      <c r="B29" t="s">
        <v>119</v>
      </c>
      <c r="C29" s="5">
        <f t="shared" si="0"/>
        <v>0</v>
      </c>
      <c r="E29">
        <v>1</v>
      </c>
      <c r="F29" t="s">
        <v>94</v>
      </c>
      <c r="G29" s="5">
        <v>0</v>
      </c>
    </row>
    <row r="30" spans="1:7" x14ac:dyDescent="0.3">
      <c r="A30" s="9" t="s">
        <v>120</v>
      </c>
      <c r="B30" t="s">
        <v>121</v>
      </c>
      <c r="C30" s="5">
        <f t="shared" si="0"/>
        <v>0</v>
      </c>
      <c r="E30" s="45">
        <f>E1</f>
        <v>0</v>
      </c>
      <c r="F30" t="s">
        <v>58</v>
      </c>
      <c r="G30" s="5">
        <v>300</v>
      </c>
    </row>
    <row r="31" spans="1:7" x14ac:dyDescent="0.3">
      <c r="A31" s="9" t="s">
        <v>122</v>
      </c>
      <c r="B31" t="s">
        <v>123</v>
      </c>
      <c r="C31" s="5">
        <f t="shared" si="0"/>
        <v>0</v>
      </c>
      <c r="E31" s="45">
        <f>E1</f>
        <v>0</v>
      </c>
      <c r="F31" t="s">
        <v>58</v>
      </c>
      <c r="G31" s="5"/>
    </row>
    <row r="32" spans="1:7" x14ac:dyDescent="0.3">
      <c r="A32" s="9" t="s">
        <v>124</v>
      </c>
      <c r="B32" t="s">
        <v>125</v>
      </c>
      <c r="C32" s="5">
        <f t="shared" si="0"/>
        <v>0</v>
      </c>
      <c r="E32" s="45">
        <f>E1</f>
        <v>0</v>
      </c>
      <c r="F32" t="s">
        <v>59</v>
      </c>
      <c r="G32" s="5">
        <v>100</v>
      </c>
    </row>
    <row r="33" spans="1:7" x14ac:dyDescent="0.3">
      <c r="A33" s="9" t="s">
        <v>126</v>
      </c>
      <c r="B33" t="s">
        <v>127</v>
      </c>
      <c r="C33" s="5">
        <f t="shared" si="0"/>
        <v>0</v>
      </c>
      <c r="E33" s="45">
        <f>E1</f>
        <v>0</v>
      </c>
      <c r="F33" t="s">
        <v>58</v>
      </c>
    </row>
    <row r="34" spans="1:7" x14ac:dyDescent="0.3">
      <c r="A34" s="9" t="s">
        <v>128</v>
      </c>
      <c r="B34" t="s">
        <v>129</v>
      </c>
      <c r="C34" s="5">
        <f t="shared" si="0"/>
        <v>0</v>
      </c>
      <c r="E34">
        <v>1</v>
      </c>
      <c r="F34" t="s">
        <v>94</v>
      </c>
    </row>
    <row r="35" spans="1:7" x14ac:dyDescent="0.3">
      <c r="A35" s="9" t="s">
        <v>130</v>
      </c>
      <c r="B35" t="s">
        <v>131</v>
      </c>
      <c r="C35" s="5">
        <f t="shared" si="0"/>
        <v>0</v>
      </c>
      <c r="E35" s="45">
        <f>E1</f>
        <v>0</v>
      </c>
      <c r="F35" t="s">
        <v>58</v>
      </c>
      <c r="G35" s="5">
        <v>0</v>
      </c>
    </row>
    <row r="36" spans="1:7" x14ac:dyDescent="0.3">
      <c r="A36" s="9" t="s">
        <v>132</v>
      </c>
      <c r="B36" t="s">
        <v>133</v>
      </c>
      <c r="C36" s="5">
        <f t="shared" ref="C36:C66" si="1">E36*G36</f>
        <v>0</v>
      </c>
      <c r="E36" s="45">
        <f>E1</f>
        <v>0</v>
      </c>
      <c r="F36" t="s">
        <v>58</v>
      </c>
      <c r="G36" s="5">
        <v>100</v>
      </c>
    </row>
    <row r="37" spans="1:7" x14ac:dyDescent="0.3">
      <c r="A37" s="9" t="s">
        <v>134</v>
      </c>
      <c r="B37" t="s">
        <v>135</v>
      </c>
      <c r="C37" s="5">
        <f t="shared" si="1"/>
        <v>0</v>
      </c>
      <c r="E37" s="45">
        <f>E1</f>
        <v>0</v>
      </c>
      <c r="F37" t="s">
        <v>58</v>
      </c>
      <c r="G37" s="5">
        <v>0</v>
      </c>
    </row>
    <row r="38" spans="1:7" x14ac:dyDescent="0.3">
      <c r="A38" s="9" t="s">
        <v>136</v>
      </c>
      <c r="B38" t="s">
        <v>137</v>
      </c>
      <c r="C38" s="5">
        <f t="shared" si="1"/>
        <v>0</v>
      </c>
      <c r="E38" s="45">
        <f>E1</f>
        <v>0</v>
      </c>
      <c r="F38" t="s">
        <v>58</v>
      </c>
      <c r="G38" s="5">
        <v>0</v>
      </c>
    </row>
    <row r="39" spans="1:7" x14ac:dyDescent="0.3">
      <c r="A39" s="9" t="s">
        <v>138</v>
      </c>
      <c r="B39" t="s">
        <v>139</v>
      </c>
      <c r="C39" s="5">
        <f t="shared" si="1"/>
        <v>0</v>
      </c>
      <c r="E39" s="45">
        <f>E1</f>
        <v>0</v>
      </c>
      <c r="F39" t="s">
        <v>58</v>
      </c>
      <c r="G39" s="5">
        <v>0</v>
      </c>
    </row>
    <row r="40" spans="1:7" x14ac:dyDescent="0.3">
      <c r="A40" s="9" t="s">
        <v>140</v>
      </c>
      <c r="B40" t="s">
        <v>141</v>
      </c>
      <c r="C40" s="5">
        <f t="shared" si="1"/>
        <v>0</v>
      </c>
      <c r="E40">
        <v>0</v>
      </c>
      <c r="F40" t="s">
        <v>94</v>
      </c>
      <c r="G40" s="5">
        <v>350</v>
      </c>
    </row>
    <row r="41" spans="1:7" x14ac:dyDescent="0.3">
      <c r="A41" s="9" t="s">
        <v>142</v>
      </c>
      <c r="B41" t="s">
        <v>143</v>
      </c>
      <c r="C41" s="5">
        <f t="shared" si="1"/>
        <v>0</v>
      </c>
      <c r="E41" s="45">
        <f>E1</f>
        <v>0</v>
      </c>
      <c r="F41" t="s">
        <v>58</v>
      </c>
      <c r="G41" s="5">
        <v>450</v>
      </c>
    </row>
    <row r="42" spans="1:7" x14ac:dyDescent="0.3">
      <c r="A42" s="9" t="s">
        <v>144</v>
      </c>
      <c r="B42" t="s">
        <v>145</v>
      </c>
      <c r="C42" s="5">
        <f t="shared" si="1"/>
        <v>0</v>
      </c>
      <c r="E42" s="45">
        <f>E1</f>
        <v>0</v>
      </c>
      <c r="F42" t="s">
        <v>58</v>
      </c>
      <c r="G42" s="5">
        <v>0</v>
      </c>
    </row>
    <row r="43" spans="1:7" x14ac:dyDescent="0.3">
      <c r="A43" s="9" t="s">
        <v>146</v>
      </c>
      <c r="B43" t="s">
        <v>147</v>
      </c>
      <c r="C43" s="5">
        <f t="shared" si="1"/>
        <v>0</v>
      </c>
      <c r="E43">
        <v>1</v>
      </c>
      <c r="F43" t="s">
        <v>94</v>
      </c>
      <c r="G43" s="47"/>
    </row>
    <row r="44" spans="1:7" x14ac:dyDescent="0.3">
      <c r="A44" s="9" t="s">
        <v>148</v>
      </c>
      <c r="B44" t="s">
        <v>149</v>
      </c>
      <c r="C44" s="5">
        <f t="shared" si="1"/>
        <v>0</v>
      </c>
      <c r="E44">
        <v>1</v>
      </c>
      <c r="F44" t="s">
        <v>94</v>
      </c>
      <c r="G44" s="47"/>
    </row>
    <row r="45" spans="1:7" x14ac:dyDescent="0.3">
      <c r="A45" s="9" t="s">
        <v>150</v>
      </c>
      <c r="B45" t="s">
        <v>151</v>
      </c>
      <c r="C45" s="5">
        <f t="shared" si="1"/>
        <v>0</v>
      </c>
      <c r="E45">
        <v>1</v>
      </c>
      <c r="F45" t="s">
        <v>94</v>
      </c>
      <c r="G45" s="47"/>
    </row>
    <row r="46" spans="1:7" x14ac:dyDescent="0.3">
      <c r="A46" s="9" t="s">
        <v>152</v>
      </c>
      <c r="B46" t="s">
        <v>153</v>
      </c>
      <c r="C46" s="5">
        <f t="shared" si="1"/>
        <v>0</v>
      </c>
      <c r="E46">
        <v>1</v>
      </c>
      <c r="F46" t="s">
        <v>94</v>
      </c>
      <c r="G46" s="47"/>
    </row>
    <row r="47" spans="1:7" x14ac:dyDescent="0.3">
      <c r="A47" s="9" t="s">
        <v>154</v>
      </c>
      <c r="B47" t="s">
        <v>155</v>
      </c>
      <c r="C47" s="5">
        <f t="shared" si="1"/>
        <v>0</v>
      </c>
      <c r="E47">
        <v>1</v>
      </c>
      <c r="F47" t="s">
        <v>94</v>
      </c>
      <c r="G47" s="47"/>
    </row>
    <row r="48" spans="1:7" x14ac:dyDescent="0.3">
      <c r="A48" s="9" t="s">
        <v>156</v>
      </c>
      <c r="B48" t="s">
        <v>157</v>
      </c>
      <c r="C48" s="5">
        <f t="shared" si="1"/>
        <v>0</v>
      </c>
      <c r="E48">
        <v>1</v>
      </c>
      <c r="F48" t="s">
        <v>949</v>
      </c>
      <c r="G48" s="47"/>
    </row>
    <row r="49" spans="1:7" x14ac:dyDescent="0.3">
      <c r="A49" s="9" t="s">
        <v>158</v>
      </c>
      <c r="B49" t="s">
        <v>159</v>
      </c>
      <c r="C49" s="5">
        <f t="shared" si="1"/>
        <v>0</v>
      </c>
      <c r="E49">
        <v>1</v>
      </c>
      <c r="F49" t="s">
        <v>94</v>
      </c>
      <c r="G49" s="47"/>
    </row>
    <row r="50" spans="1:7" x14ac:dyDescent="0.3">
      <c r="A50" s="9" t="s">
        <v>160</v>
      </c>
      <c r="B50" t="s">
        <v>161</v>
      </c>
      <c r="C50" s="5">
        <f t="shared" si="1"/>
        <v>0</v>
      </c>
      <c r="E50">
        <v>1</v>
      </c>
      <c r="F50" t="s">
        <v>94</v>
      </c>
      <c r="G50" s="47"/>
    </row>
    <row r="51" spans="1:7" x14ac:dyDescent="0.3">
      <c r="A51" s="9" t="s">
        <v>162</v>
      </c>
      <c r="B51" t="s">
        <v>163</v>
      </c>
      <c r="C51" s="5">
        <f t="shared" si="1"/>
        <v>0</v>
      </c>
      <c r="E51">
        <v>1</v>
      </c>
      <c r="F51" t="s">
        <v>94</v>
      </c>
      <c r="G51" s="47"/>
    </row>
    <row r="52" spans="1:7" x14ac:dyDescent="0.3">
      <c r="A52" s="9" t="s">
        <v>164</v>
      </c>
      <c r="B52" t="s">
        <v>165</v>
      </c>
      <c r="C52" s="5">
        <f t="shared" si="1"/>
        <v>0</v>
      </c>
      <c r="E52">
        <v>1</v>
      </c>
      <c r="F52" t="s">
        <v>94</v>
      </c>
      <c r="G52" s="47"/>
    </row>
    <row r="53" spans="1:7" x14ac:dyDescent="0.3">
      <c r="A53" s="9" t="s">
        <v>166</v>
      </c>
      <c r="B53" t="s">
        <v>167</v>
      </c>
      <c r="C53" s="5">
        <f t="shared" si="1"/>
        <v>0</v>
      </c>
      <c r="E53">
        <v>1</v>
      </c>
      <c r="F53" t="s">
        <v>94</v>
      </c>
      <c r="G53" s="47"/>
    </row>
    <row r="54" spans="1:7" x14ac:dyDescent="0.3">
      <c r="A54" s="9" t="s">
        <v>168</v>
      </c>
      <c r="B54" t="s">
        <v>169</v>
      </c>
      <c r="C54" s="5">
        <f t="shared" si="1"/>
        <v>0</v>
      </c>
      <c r="E54">
        <v>1</v>
      </c>
      <c r="F54" t="s">
        <v>94</v>
      </c>
      <c r="G54" s="47"/>
    </row>
    <row r="55" spans="1:7" x14ac:dyDescent="0.3">
      <c r="A55" s="9" t="s">
        <v>170</v>
      </c>
      <c r="B55" t="s">
        <v>950</v>
      </c>
      <c r="C55" s="5">
        <f t="shared" si="1"/>
        <v>0</v>
      </c>
      <c r="E55" s="45">
        <f>E1</f>
        <v>0</v>
      </c>
      <c r="F55" t="s">
        <v>58</v>
      </c>
      <c r="G55" s="47"/>
    </row>
    <row r="56" spans="1:7" x14ac:dyDescent="0.3">
      <c r="A56" s="9" t="s">
        <v>174</v>
      </c>
      <c r="B56" t="s">
        <v>175</v>
      </c>
      <c r="C56" s="5">
        <f t="shared" si="1"/>
        <v>0</v>
      </c>
      <c r="E56" s="45">
        <f>E1</f>
        <v>0</v>
      </c>
      <c r="F56" t="s">
        <v>58</v>
      </c>
      <c r="G56" s="47"/>
    </row>
    <row r="57" spans="1:7" x14ac:dyDescent="0.3">
      <c r="A57" s="9" t="s">
        <v>176</v>
      </c>
      <c r="B57" t="s">
        <v>177</v>
      </c>
      <c r="C57" s="5">
        <f t="shared" si="1"/>
        <v>0</v>
      </c>
      <c r="E57" s="45">
        <f>E1</f>
        <v>0</v>
      </c>
      <c r="F57" t="s">
        <v>58</v>
      </c>
      <c r="G57" s="47"/>
    </row>
    <row r="58" spans="1:7" x14ac:dyDescent="0.3">
      <c r="A58" s="9" t="s">
        <v>178</v>
      </c>
      <c r="B58" t="s">
        <v>179</v>
      </c>
      <c r="C58" s="5">
        <f t="shared" si="1"/>
        <v>0</v>
      </c>
      <c r="E58">
        <v>1</v>
      </c>
      <c r="F58" t="s">
        <v>94</v>
      </c>
      <c r="G58" s="47"/>
    </row>
    <row r="59" spans="1:7" x14ac:dyDescent="0.3">
      <c r="A59" s="9" t="s">
        <v>180</v>
      </c>
      <c r="B59" t="s">
        <v>181</v>
      </c>
      <c r="C59" s="5">
        <f t="shared" si="1"/>
        <v>0</v>
      </c>
      <c r="E59">
        <v>1</v>
      </c>
      <c r="F59" t="s">
        <v>94</v>
      </c>
      <c r="G59" s="47"/>
    </row>
    <row r="60" spans="1:7" x14ac:dyDescent="0.3">
      <c r="A60" s="9" t="s">
        <v>182</v>
      </c>
      <c r="B60" t="s">
        <v>183</v>
      </c>
      <c r="C60" s="5">
        <f t="shared" si="1"/>
        <v>0</v>
      </c>
      <c r="E60">
        <v>1</v>
      </c>
      <c r="F60" t="s">
        <v>94</v>
      </c>
      <c r="G60" s="47"/>
    </row>
    <row r="61" spans="1:7" x14ac:dyDescent="0.3">
      <c r="A61" s="9" t="s">
        <v>184</v>
      </c>
      <c r="B61" t="s">
        <v>185</v>
      </c>
      <c r="C61" s="5">
        <f t="shared" si="1"/>
        <v>0</v>
      </c>
      <c r="E61">
        <v>1</v>
      </c>
      <c r="F61" t="s">
        <v>94</v>
      </c>
      <c r="G61" s="47"/>
    </row>
    <row r="62" spans="1:7" x14ac:dyDescent="0.3">
      <c r="A62" s="9" t="s">
        <v>186</v>
      </c>
      <c r="B62" t="s">
        <v>187</v>
      </c>
      <c r="C62" s="5">
        <f t="shared" si="1"/>
        <v>0</v>
      </c>
      <c r="E62" s="45">
        <f>E1</f>
        <v>0</v>
      </c>
      <c r="F62" t="s">
        <v>58</v>
      </c>
      <c r="G62" s="47"/>
    </row>
    <row r="63" spans="1:7" x14ac:dyDescent="0.3">
      <c r="A63" s="9" t="s">
        <v>188</v>
      </c>
      <c r="B63" t="s">
        <v>189</v>
      </c>
      <c r="C63" s="5">
        <f t="shared" si="1"/>
        <v>0</v>
      </c>
      <c r="E63" s="45">
        <f>E1</f>
        <v>0</v>
      </c>
      <c r="F63" t="s">
        <v>58</v>
      </c>
      <c r="G63" s="47"/>
    </row>
    <row r="64" spans="1:7" x14ac:dyDescent="0.3">
      <c r="A64" s="9" t="s">
        <v>190</v>
      </c>
      <c r="B64" t="s">
        <v>191</v>
      </c>
      <c r="C64" s="5">
        <f t="shared" si="1"/>
        <v>0</v>
      </c>
      <c r="E64" s="45">
        <f>E1</f>
        <v>0</v>
      </c>
      <c r="F64" t="s">
        <v>58</v>
      </c>
      <c r="G64" s="47"/>
    </row>
    <row r="65" spans="1:7" x14ac:dyDescent="0.3">
      <c r="A65" s="9" t="s">
        <v>192</v>
      </c>
      <c r="B65" t="s">
        <v>193</v>
      </c>
      <c r="C65" s="5">
        <f t="shared" si="1"/>
        <v>0</v>
      </c>
      <c r="E65" s="45">
        <f>E1</f>
        <v>0</v>
      </c>
      <c r="F65" t="s">
        <v>58</v>
      </c>
      <c r="G65" s="47"/>
    </row>
    <row r="66" spans="1:7" x14ac:dyDescent="0.3">
      <c r="A66" s="9" t="s">
        <v>194</v>
      </c>
      <c r="B66" t="s">
        <v>195</v>
      </c>
      <c r="C66" s="5">
        <f t="shared" si="1"/>
        <v>0</v>
      </c>
      <c r="F66" t="s">
        <v>105</v>
      </c>
      <c r="G66" s="47"/>
    </row>
    <row r="67" spans="1:7" x14ac:dyDescent="0.3">
      <c r="A67" s="9" t="s">
        <v>196</v>
      </c>
      <c r="B67" t="s">
        <v>27</v>
      </c>
      <c r="C67" s="5">
        <f t="shared" ref="C67:C74" si="2">E67*G67</f>
        <v>0</v>
      </c>
      <c r="F67" t="s">
        <v>111</v>
      </c>
      <c r="G67" s="47"/>
    </row>
    <row r="68" spans="1:7" x14ac:dyDescent="0.3">
      <c r="A68" s="9" t="s">
        <v>197</v>
      </c>
      <c r="B68" t="s">
        <v>198</v>
      </c>
      <c r="C68" s="5">
        <f t="shared" si="2"/>
        <v>0</v>
      </c>
      <c r="E68" s="45">
        <f>E1</f>
        <v>0</v>
      </c>
      <c r="F68" t="s">
        <v>58</v>
      </c>
      <c r="G68" s="47"/>
    </row>
    <row r="69" spans="1:7" x14ac:dyDescent="0.3">
      <c r="A69" s="9" t="s">
        <v>199</v>
      </c>
      <c r="B69" t="s">
        <v>200</v>
      </c>
      <c r="C69" s="5">
        <f t="shared" si="2"/>
        <v>0</v>
      </c>
      <c r="F69" t="s">
        <v>111</v>
      </c>
      <c r="G69" s="47"/>
    </row>
    <row r="70" spans="1:7" x14ac:dyDescent="0.3">
      <c r="A70" s="9" t="s">
        <v>201</v>
      </c>
      <c r="B70" t="s">
        <v>202</v>
      </c>
      <c r="C70" s="5">
        <f t="shared" si="2"/>
        <v>0</v>
      </c>
      <c r="E70">
        <v>1</v>
      </c>
      <c r="F70" t="s">
        <v>94</v>
      </c>
      <c r="G70" s="47"/>
    </row>
    <row r="71" spans="1:7" x14ac:dyDescent="0.3">
      <c r="A71" s="9" t="s">
        <v>203</v>
      </c>
      <c r="B71" t="s">
        <v>204</v>
      </c>
      <c r="C71" s="5">
        <f t="shared" si="2"/>
        <v>0</v>
      </c>
      <c r="E71">
        <v>1</v>
      </c>
      <c r="F71" t="s">
        <v>94</v>
      </c>
      <c r="G71" s="47"/>
    </row>
    <row r="72" spans="1:7" x14ac:dyDescent="0.3">
      <c r="A72" s="9" t="s">
        <v>205</v>
      </c>
      <c r="B72" t="s">
        <v>206</v>
      </c>
      <c r="C72" s="5">
        <f t="shared" si="2"/>
        <v>0</v>
      </c>
      <c r="E72">
        <v>1</v>
      </c>
      <c r="F72" t="s">
        <v>94</v>
      </c>
      <c r="G72" s="47"/>
    </row>
    <row r="73" spans="1:7" x14ac:dyDescent="0.3">
      <c r="A73" s="9" t="s">
        <v>207</v>
      </c>
      <c r="B73" t="s">
        <v>208</v>
      </c>
      <c r="C73" s="5">
        <f t="shared" si="2"/>
        <v>0</v>
      </c>
      <c r="E73">
        <v>1</v>
      </c>
      <c r="F73" t="s">
        <v>94</v>
      </c>
      <c r="G73" s="47"/>
    </row>
    <row r="74" spans="1:7" x14ac:dyDescent="0.3">
      <c r="A74" s="9" t="s">
        <v>209</v>
      </c>
      <c r="B74" t="s">
        <v>210</v>
      </c>
      <c r="C74" s="5">
        <f t="shared" si="2"/>
        <v>0</v>
      </c>
      <c r="E74">
        <v>1</v>
      </c>
      <c r="F74" t="s">
        <v>94</v>
      </c>
      <c r="G74" s="47"/>
    </row>
    <row r="76" spans="1:7" x14ac:dyDescent="0.3">
      <c r="A76" s="313" t="s">
        <v>11</v>
      </c>
      <c r="B76" s="313"/>
      <c r="C76" s="5">
        <f>ROUNDUP(SUM(C4:C74),0)</f>
        <v>0</v>
      </c>
    </row>
  </sheetData>
  <mergeCells count="2">
    <mergeCell ref="A3:C3"/>
    <mergeCell ref="A76:B7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X371"/>
  <sheetViews>
    <sheetView zoomScale="85" zoomScaleNormal="85" workbookViewId="0">
      <pane ySplit="7" topLeftCell="A8" activePane="bottomLeft" state="frozen"/>
      <selection pane="bottomLeft" activeCell="C161" sqref="C161"/>
    </sheetView>
  </sheetViews>
  <sheetFormatPr defaultColWidth="8.88671875" defaultRowHeight="14.4" x14ac:dyDescent="0.3"/>
  <cols>
    <col min="1" max="1" width="5.44140625" customWidth="1"/>
    <col min="2" max="2" width="9.5546875" customWidth="1"/>
    <col min="3" max="3" width="50.109375" customWidth="1"/>
    <col min="4" max="4" width="9.109375" customWidth="1"/>
    <col min="5" max="5" width="10.88671875" customWidth="1"/>
    <col min="6" max="6" width="9.44140625" customWidth="1"/>
    <col min="7" max="7" width="12.88671875" customWidth="1"/>
    <col min="8" max="8" width="10.44140625" bestFit="1" customWidth="1"/>
    <col min="9" max="9" width="7.88671875" style="34" customWidth="1"/>
    <col min="12" max="12" width="5.44140625" customWidth="1"/>
    <col min="13" max="13" width="6.88671875" customWidth="1"/>
    <col min="14" max="14" width="7.44140625" customWidth="1"/>
    <col min="15" max="15" width="8.44140625" style="56" customWidth="1"/>
    <col min="16" max="16" width="10" customWidth="1"/>
    <col min="17" max="17" width="6.88671875" customWidth="1"/>
    <col min="18" max="18" width="7.44140625" customWidth="1"/>
    <col min="19" max="19" width="9" style="56" customWidth="1"/>
    <col min="20" max="20" width="10" customWidth="1"/>
    <col min="21" max="21" width="13.5546875" style="129" customWidth="1"/>
    <col min="22" max="22" width="11.88671875" customWidth="1"/>
    <col min="23" max="23" width="13.109375" customWidth="1"/>
    <col min="24" max="24" width="23.44140625" customWidth="1"/>
    <col min="25" max="25" width="13.5546875" customWidth="1"/>
    <col min="27" max="27" width="17.109375" customWidth="1"/>
    <col min="28" max="28" width="11.44140625" customWidth="1"/>
    <col min="30" max="30" width="20.109375" customWidth="1"/>
  </cols>
  <sheetData>
    <row r="2" spans="1:25" x14ac:dyDescent="0.3">
      <c r="A2" s="48" t="s">
        <v>211</v>
      </c>
      <c r="B2" s="49"/>
      <c r="C2" s="48"/>
      <c r="D2" s="49"/>
      <c r="E2" s="49"/>
      <c r="F2" s="48" t="s">
        <v>212</v>
      </c>
      <c r="G2" s="49"/>
      <c r="H2" s="48"/>
      <c r="I2" s="50"/>
      <c r="J2" s="48"/>
      <c r="K2" s="49"/>
      <c r="L2" s="49"/>
      <c r="M2" s="48" t="s">
        <v>213</v>
      </c>
      <c r="N2" s="49"/>
      <c r="O2" s="51"/>
      <c r="P2" s="49"/>
      <c r="Q2" s="48"/>
      <c r="R2" s="49"/>
      <c r="S2" s="51"/>
      <c r="T2" s="49"/>
      <c r="U2" s="52"/>
      <c r="V2" s="49"/>
      <c r="W2" s="49"/>
      <c r="X2" s="49"/>
    </row>
    <row r="3" spans="1:25" x14ac:dyDescent="0.3">
      <c r="A3" s="48" t="s">
        <v>9</v>
      </c>
      <c r="B3" s="49"/>
      <c r="C3" s="48"/>
      <c r="D3" s="49"/>
      <c r="E3" s="49"/>
      <c r="F3" s="48" t="s">
        <v>214</v>
      </c>
      <c r="G3" s="49"/>
      <c r="H3" s="53"/>
      <c r="I3" s="50"/>
      <c r="J3" s="48"/>
      <c r="K3" s="49"/>
      <c r="L3" s="49"/>
      <c r="M3" s="49"/>
      <c r="N3" s="49"/>
      <c r="O3" s="54"/>
      <c r="P3" s="49"/>
      <c r="Q3" s="49"/>
      <c r="R3" s="49"/>
      <c r="S3" s="54"/>
      <c r="T3" s="49"/>
      <c r="U3" s="52"/>
      <c r="V3" s="49"/>
      <c r="W3" s="49"/>
      <c r="X3" s="49"/>
    </row>
    <row r="4" spans="1:25" x14ac:dyDescent="0.3">
      <c r="A4" s="48" t="s">
        <v>215</v>
      </c>
      <c r="B4" s="49"/>
      <c r="C4" s="48"/>
      <c r="D4" s="49"/>
      <c r="E4" s="49"/>
      <c r="F4" s="48" t="s">
        <v>216</v>
      </c>
      <c r="G4" s="49"/>
      <c r="H4" s="48"/>
      <c r="I4" s="50"/>
      <c r="J4" s="48"/>
      <c r="K4" s="49"/>
      <c r="L4" s="49"/>
      <c r="M4" s="49"/>
      <c r="N4" s="49"/>
      <c r="O4" s="54"/>
      <c r="P4" s="49"/>
      <c r="Q4" s="49"/>
      <c r="R4" s="49"/>
      <c r="S4" s="54"/>
      <c r="T4" s="49"/>
      <c r="U4" s="52"/>
      <c r="V4" s="49"/>
      <c r="W4" s="49"/>
      <c r="X4" s="49"/>
    </row>
    <row r="5" spans="1:25" ht="15" thickBot="1" x14ac:dyDescent="0.35">
      <c r="A5" s="55"/>
      <c r="F5" s="55"/>
      <c r="U5" s="57"/>
    </row>
    <row r="6" spans="1:25" s="55" customFormat="1" ht="15" thickBot="1" x14ac:dyDescent="0.35">
      <c r="A6" s="58"/>
      <c r="B6" s="58"/>
      <c r="C6" s="58"/>
      <c r="D6" s="318" t="s">
        <v>217</v>
      </c>
      <c r="E6" s="319"/>
      <c r="F6" s="320"/>
      <c r="G6" s="58"/>
      <c r="H6" s="59"/>
      <c r="I6" s="60"/>
      <c r="J6" s="321" t="s">
        <v>218</v>
      </c>
      <c r="K6" s="322"/>
      <c r="L6" s="61"/>
      <c r="M6" s="321" t="s">
        <v>219</v>
      </c>
      <c r="N6" s="323"/>
      <c r="O6" s="323"/>
      <c r="P6" s="322"/>
      <c r="Q6" s="321" t="s">
        <v>220</v>
      </c>
      <c r="R6" s="323"/>
      <c r="S6" s="323"/>
      <c r="T6" s="322"/>
      <c r="U6" s="321" t="s">
        <v>221</v>
      </c>
      <c r="V6" s="322"/>
      <c r="W6" s="58"/>
      <c r="X6" s="58"/>
    </row>
    <row r="7" spans="1:25" s="55" customFormat="1" ht="15" thickBot="1" x14ac:dyDescent="0.35">
      <c r="A7" s="62" t="s">
        <v>222</v>
      </c>
      <c r="B7" s="62" t="s">
        <v>223</v>
      </c>
      <c r="C7" s="62" t="s">
        <v>224</v>
      </c>
      <c r="D7" s="63" t="s">
        <v>225</v>
      </c>
      <c r="E7" s="48" t="s">
        <v>226</v>
      </c>
      <c r="F7" s="64" t="s">
        <v>227</v>
      </c>
      <c r="G7" s="58" t="s">
        <v>228</v>
      </c>
      <c r="H7" s="63" t="s">
        <v>61</v>
      </c>
      <c r="I7" s="65" t="s">
        <v>62</v>
      </c>
      <c r="J7" s="63" t="s">
        <v>229</v>
      </c>
      <c r="K7" s="64" t="s">
        <v>230</v>
      </c>
      <c r="L7" s="48" t="s">
        <v>231</v>
      </c>
      <c r="M7" s="66" t="s">
        <v>232</v>
      </c>
      <c r="N7" s="50" t="s">
        <v>233</v>
      </c>
      <c r="O7" s="67" t="s">
        <v>63</v>
      </c>
      <c r="P7" s="64" t="s">
        <v>230</v>
      </c>
      <c r="Q7" s="68" t="s">
        <v>234</v>
      </c>
      <c r="R7" s="50" t="s">
        <v>62</v>
      </c>
      <c r="S7" s="50" t="s">
        <v>63</v>
      </c>
      <c r="T7" s="64" t="s">
        <v>230</v>
      </c>
      <c r="U7" s="69" t="s">
        <v>229</v>
      </c>
      <c r="V7" s="64" t="s">
        <v>230</v>
      </c>
      <c r="W7" s="62" t="s">
        <v>48</v>
      </c>
      <c r="X7" s="62" t="s">
        <v>235</v>
      </c>
    </row>
    <row r="8" spans="1:25" ht="15" thickBot="1" x14ac:dyDescent="0.35">
      <c r="A8" s="165">
        <v>1</v>
      </c>
      <c r="B8" s="166" t="s">
        <v>236</v>
      </c>
      <c r="C8" s="165"/>
      <c r="D8" s="167"/>
      <c r="E8" s="168"/>
      <c r="F8" s="169"/>
      <c r="G8" s="167"/>
      <c r="H8" s="168"/>
      <c r="I8" s="170"/>
      <c r="J8" s="167"/>
      <c r="K8" s="171">
        <f t="shared" ref="K8:K17" si="0">J8*H8</f>
        <v>0</v>
      </c>
      <c r="L8" s="172"/>
      <c r="M8" s="167"/>
      <c r="N8" s="173">
        <f t="shared" ref="N8:N17" si="1">ROUND(L8*M8*H8,0)</f>
        <v>0</v>
      </c>
      <c r="O8" s="174"/>
      <c r="P8" s="171">
        <f t="shared" ref="P8:P17" si="2">O8*N8</f>
        <v>0</v>
      </c>
      <c r="Q8" s="167"/>
      <c r="R8" s="173"/>
      <c r="S8" s="174"/>
      <c r="T8" s="171">
        <f t="shared" ref="T8:T17" si="3">S8*Q8</f>
        <v>0</v>
      </c>
      <c r="U8" s="175"/>
      <c r="V8" s="171">
        <f t="shared" ref="V8:V17" si="4">H8*U8</f>
        <v>0</v>
      </c>
      <c r="W8" s="176">
        <f t="shared" ref="W8:W17" si="5">V8+T8+P8+K8</f>
        <v>0</v>
      </c>
      <c r="X8" s="165"/>
      <c r="Y8" s="177">
        <f>SUM(W8:W18)</f>
        <v>0</v>
      </c>
    </row>
    <row r="9" spans="1:25" ht="15" thickBot="1" x14ac:dyDescent="0.35">
      <c r="A9" s="80">
        <f t="shared" ref="A9:A53" si="6">A8+1</f>
        <v>2</v>
      </c>
      <c r="B9" s="80"/>
      <c r="C9" s="80" t="s">
        <v>237</v>
      </c>
      <c r="D9" s="70"/>
      <c r="E9" s="71"/>
      <c r="F9" s="72"/>
      <c r="G9" s="70"/>
      <c r="H9" s="71"/>
      <c r="I9" s="73" t="s">
        <v>238</v>
      </c>
      <c r="J9" s="70"/>
      <c r="K9" s="74">
        <f t="shared" si="0"/>
        <v>0</v>
      </c>
      <c r="L9" s="75"/>
      <c r="M9" s="70"/>
      <c r="N9" s="76">
        <f t="shared" si="1"/>
        <v>0</v>
      </c>
      <c r="O9" s="77"/>
      <c r="P9" s="74">
        <f t="shared" si="2"/>
        <v>0</v>
      </c>
      <c r="Q9" s="70"/>
      <c r="R9" s="76"/>
      <c r="S9" s="77"/>
      <c r="T9" s="74">
        <f t="shared" si="3"/>
        <v>0</v>
      </c>
      <c r="U9" s="78"/>
      <c r="V9" s="74">
        <f t="shared" si="4"/>
        <v>0</v>
      </c>
      <c r="W9" s="79">
        <f t="shared" si="5"/>
        <v>0</v>
      </c>
      <c r="X9" s="80"/>
      <c r="Y9" s="84"/>
    </row>
    <row r="10" spans="1:25" ht="15" thickBot="1" x14ac:dyDescent="0.35">
      <c r="A10" s="80">
        <f t="shared" si="6"/>
        <v>3</v>
      </c>
      <c r="B10" s="80"/>
      <c r="C10" s="80" t="s">
        <v>239</v>
      </c>
      <c r="D10" s="70"/>
      <c r="E10" s="71"/>
      <c r="F10" s="72"/>
      <c r="G10" s="70"/>
      <c r="H10" s="71"/>
      <c r="I10" s="73" t="s">
        <v>238</v>
      </c>
      <c r="J10" s="70"/>
      <c r="K10" s="74">
        <f t="shared" si="0"/>
        <v>0</v>
      </c>
      <c r="L10" s="75"/>
      <c r="M10" s="70"/>
      <c r="N10" s="76">
        <f t="shared" si="1"/>
        <v>0</v>
      </c>
      <c r="O10" s="77"/>
      <c r="P10" s="74">
        <f t="shared" si="2"/>
        <v>0</v>
      </c>
      <c r="Q10" s="70"/>
      <c r="R10" s="76"/>
      <c r="S10" s="77"/>
      <c r="T10" s="74">
        <f t="shared" si="3"/>
        <v>0</v>
      </c>
      <c r="U10" s="78"/>
      <c r="V10" s="74">
        <f t="shared" si="4"/>
        <v>0</v>
      </c>
      <c r="W10" s="79">
        <f t="shared" si="5"/>
        <v>0</v>
      </c>
      <c r="X10" s="80"/>
    </row>
    <row r="11" spans="1:25" ht="15" thickBot="1" x14ac:dyDescent="0.35">
      <c r="A11" s="80">
        <f t="shared" si="6"/>
        <v>4</v>
      </c>
      <c r="B11" s="80"/>
      <c r="C11" s="80" t="s">
        <v>240</v>
      </c>
      <c r="D11" s="70"/>
      <c r="E11" s="71"/>
      <c r="F11" s="72"/>
      <c r="G11" s="70"/>
      <c r="H11" s="71"/>
      <c r="I11" s="73" t="s">
        <v>238</v>
      </c>
      <c r="J11" s="70"/>
      <c r="K11" s="74">
        <f t="shared" si="0"/>
        <v>0</v>
      </c>
      <c r="L11" s="75"/>
      <c r="M11" s="70"/>
      <c r="N11" s="76">
        <f t="shared" si="1"/>
        <v>0</v>
      </c>
      <c r="O11" s="77"/>
      <c r="P11" s="74">
        <f t="shared" si="2"/>
        <v>0</v>
      </c>
      <c r="Q11" s="70"/>
      <c r="R11" s="76"/>
      <c r="S11" s="77"/>
      <c r="T11" s="74">
        <f t="shared" si="3"/>
        <v>0</v>
      </c>
      <c r="U11" s="78"/>
      <c r="V11" s="74">
        <f t="shared" si="4"/>
        <v>0</v>
      </c>
      <c r="W11" s="79">
        <f t="shared" si="5"/>
        <v>0</v>
      </c>
      <c r="X11" s="80"/>
    </row>
    <row r="12" spans="1:25" ht="15" thickBot="1" x14ac:dyDescent="0.35">
      <c r="A12" s="80">
        <f t="shared" si="6"/>
        <v>5</v>
      </c>
      <c r="B12" s="80"/>
      <c r="C12" s="80" t="s">
        <v>241</v>
      </c>
      <c r="D12" s="70"/>
      <c r="E12" s="71"/>
      <c r="F12" s="72"/>
      <c r="G12" s="70"/>
      <c r="H12" s="71"/>
      <c r="I12" s="73" t="s">
        <v>238</v>
      </c>
      <c r="J12" s="70"/>
      <c r="K12" s="74">
        <f t="shared" si="0"/>
        <v>0</v>
      </c>
      <c r="L12" s="75"/>
      <c r="M12" s="70"/>
      <c r="N12" s="76">
        <f t="shared" si="1"/>
        <v>0</v>
      </c>
      <c r="O12" s="77"/>
      <c r="P12" s="74">
        <f t="shared" si="2"/>
        <v>0</v>
      </c>
      <c r="Q12" s="70"/>
      <c r="R12" s="76"/>
      <c r="S12" s="77"/>
      <c r="T12" s="74">
        <f t="shared" si="3"/>
        <v>0</v>
      </c>
      <c r="U12" s="78"/>
      <c r="V12" s="74">
        <f t="shared" si="4"/>
        <v>0</v>
      </c>
      <c r="W12" s="79">
        <f t="shared" si="5"/>
        <v>0</v>
      </c>
      <c r="X12" s="80"/>
    </row>
    <row r="13" spans="1:25" ht="15" thickBot="1" x14ac:dyDescent="0.35">
      <c r="A13" s="80">
        <f t="shared" si="6"/>
        <v>6</v>
      </c>
      <c r="B13" s="80"/>
      <c r="C13" s="80" t="s">
        <v>242</v>
      </c>
      <c r="D13" s="70"/>
      <c r="E13" s="71"/>
      <c r="F13" s="72"/>
      <c r="G13" s="70"/>
      <c r="H13" s="71"/>
      <c r="I13" s="73" t="s">
        <v>238</v>
      </c>
      <c r="J13" s="70"/>
      <c r="K13" s="74">
        <f t="shared" si="0"/>
        <v>0</v>
      </c>
      <c r="L13" s="75"/>
      <c r="M13" s="70"/>
      <c r="N13" s="76">
        <f t="shared" si="1"/>
        <v>0</v>
      </c>
      <c r="O13" s="77"/>
      <c r="P13" s="74">
        <f t="shared" si="2"/>
        <v>0</v>
      </c>
      <c r="Q13" s="70"/>
      <c r="R13" s="76"/>
      <c r="S13" s="77"/>
      <c r="T13" s="74">
        <f t="shared" si="3"/>
        <v>0</v>
      </c>
      <c r="U13" s="78"/>
      <c r="V13" s="74">
        <f t="shared" si="4"/>
        <v>0</v>
      </c>
      <c r="W13" s="79">
        <f t="shared" si="5"/>
        <v>0</v>
      </c>
      <c r="X13" s="80"/>
    </row>
    <row r="14" spans="1:25" ht="15" thickBot="1" x14ac:dyDescent="0.35">
      <c r="A14" s="80">
        <f t="shared" si="6"/>
        <v>7</v>
      </c>
      <c r="B14" s="80"/>
      <c r="C14" s="80" t="s">
        <v>243</v>
      </c>
      <c r="D14" s="70"/>
      <c r="E14" s="71"/>
      <c r="F14" s="72"/>
      <c r="G14" s="70"/>
      <c r="H14" s="71"/>
      <c r="I14" s="73" t="s">
        <v>238</v>
      </c>
      <c r="J14" s="70"/>
      <c r="K14" s="74">
        <f t="shared" si="0"/>
        <v>0</v>
      </c>
      <c r="L14" s="75"/>
      <c r="M14" s="70"/>
      <c r="N14" s="76">
        <f t="shared" si="1"/>
        <v>0</v>
      </c>
      <c r="O14" s="77"/>
      <c r="P14" s="74">
        <f t="shared" si="2"/>
        <v>0</v>
      </c>
      <c r="Q14" s="70"/>
      <c r="R14" s="76"/>
      <c r="S14" s="77"/>
      <c r="T14" s="74">
        <f t="shared" si="3"/>
        <v>0</v>
      </c>
      <c r="U14" s="78"/>
      <c r="V14" s="74">
        <f t="shared" si="4"/>
        <v>0</v>
      </c>
      <c r="W14" s="79">
        <f t="shared" si="5"/>
        <v>0</v>
      </c>
      <c r="X14" s="80"/>
    </row>
    <row r="15" spans="1:25" ht="15" thickBot="1" x14ac:dyDescent="0.35">
      <c r="A15" s="80">
        <f t="shared" si="6"/>
        <v>8</v>
      </c>
      <c r="B15" s="80"/>
      <c r="C15" s="80" t="s">
        <v>244</v>
      </c>
      <c r="D15" s="70"/>
      <c r="E15" s="71"/>
      <c r="F15" s="72"/>
      <c r="G15" s="70"/>
      <c r="H15" s="71"/>
      <c r="I15" s="73" t="s">
        <v>238</v>
      </c>
      <c r="J15" s="70"/>
      <c r="K15" s="74">
        <f t="shared" si="0"/>
        <v>0</v>
      </c>
      <c r="L15" s="75"/>
      <c r="M15" s="70"/>
      <c r="N15" s="76">
        <f t="shared" si="1"/>
        <v>0</v>
      </c>
      <c r="O15" s="77"/>
      <c r="P15" s="74">
        <f t="shared" si="2"/>
        <v>0</v>
      </c>
      <c r="Q15" s="70"/>
      <c r="R15" s="76"/>
      <c r="S15" s="77"/>
      <c r="T15" s="74">
        <f t="shared" si="3"/>
        <v>0</v>
      </c>
      <c r="U15" s="78"/>
      <c r="V15" s="74">
        <f t="shared" si="4"/>
        <v>0</v>
      </c>
      <c r="W15" s="79">
        <f t="shared" si="5"/>
        <v>0</v>
      </c>
      <c r="X15" s="80"/>
    </row>
    <row r="16" spans="1:25" ht="15" thickBot="1" x14ac:dyDescent="0.35">
      <c r="A16" s="80">
        <f t="shared" si="6"/>
        <v>9</v>
      </c>
      <c r="B16" s="80"/>
      <c r="C16" s="80" t="s">
        <v>245</v>
      </c>
      <c r="D16" s="70"/>
      <c r="E16" s="71"/>
      <c r="F16" s="72"/>
      <c r="G16" s="70"/>
      <c r="H16" s="71"/>
      <c r="I16" s="73" t="s">
        <v>238</v>
      </c>
      <c r="J16" s="70"/>
      <c r="K16" s="74">
        <f t="shared" si="0"/>
        <v>0</v>
      </c>
      <c r="L16" s="75"/>
      <c r="M16" s="70"/>
      <c r="N16" s="76">
        <f t="shared" si="1"/>
        <v>0</v>
      </c>
      <c r="O16" s="77"/>
      <c r="P16" s="74">
        <f t="shared" si="2"/>
        <v>0</v>
      </c>
      <c r="Q16" s="70"/>
      <c r="R16" s="76"/>
      <c r="S16" s="77"/>
      <c r="T16" s="74">
        <f t="shared" si="3"/>
        <v>0</v>
      </c>
      <c r="U16" s="78"/>
      <c r="V16" s="74">
        <f t="shared" si="4"/>
        <v>0</v>
      </c>
      <c r="W16" s="79">
        <f t="shared" si="5"/>
        <v>0</v>
      </c>
      <c r="X16" s="80"/>
    </row>
    <row r="17" spans="1:25" ht="15" thickBot="1" x14ac:dyDescent="0.35">
      <c r="A17" s="80">
        <f t="shared" si="6"/>
        <v>10</v>
      </c>
      <c r="B17" s="80"/>
      <c r="C17" s="81" t="s">
        <v>246</v>
      </c>
      <c r="D17" s="70"/>
      <c r="E17" s="71"/>
      <c r="F17" s="72"/>
      <c r="G17" s="70"/>
      <c r="H17" s="71"/>
      <c r="I17" s="73" t="s">
        <v>238</v>
      </c>
      <c r="J17" s="70"/>
      <c r="K17" s="74">
        <f t="shared" si="0"/>
        <v>0</v>
      </c>
      <c r="L17" s="75"/>
      <c r="M17" s="70"/>
      <c r="N17" s="76">
        <f t="shared" si="1"/>
        <v>0</v>
      </c>
      <c r="O17" s="77"/>
      <c r="P17" s="74">
        <f t="shared" si="2"/>
        <v>0</v>
      </c>
      <c r="Q17" s="70"/>
      <c r="R17" s="76"/>
      <c r="S17" s="77"/>
      <c r="T17" s="74">
        <f t="shared" si="3"/>
        <v>0</v>
      </c>
      <c r="U17" s="78"/>
      <c r="V17" s="74">
        <f t="shared" si="4"/>
        <v>0</v>
      </c>
      <c r="W17" s="79">
        <f t="shared" si="5"/>
        <v>0</v>
      </c>
      <c r="X17" s="80"/>
    </row>
    <row r="18" spans="1:25" ht="15" thickBot="1" x14ac:dyDescent="0.35">
      <c r="A18" s="80">
        <f t="shared" si="6"/>
        <v>11</v>
      </c>
      <c r="B18" s="231"/>
      <c r="C18" s="231"/>
      <c r="D18" s="70"/>
      <c r="E18" s="71"/>
      <c r="F18" s="72"/>
      <c r="G18" s="70"/>
      <c r="H18" s="71"/>
      <c r="I18" s="73" t="s">
        <v>238</v>
      </c>
      <c r="J18" s="70"/>
      <c r="K18" s="74">
        <f t="shared" ref="K18" si="7">J18*H18</f>
        <v>0</v>
      </c>
      <c r="L18" s="75"/>
      <c r="M18" s="70"/>
      <c r="N18" s="76">
        <f t="shared" ref="N18" si="8">ROUND(L18*M18*H18,0)</f>
        <v>0</v>
      </c>
      <c r="O18" s="77"/>
      <c r="P18" s="74">
        <f t="shared" ref="P18" si="9">O18*N18</f>
        <v>0</v>
      </c>
      <c r="Q18" s="70"/>
      <c r="R18" s="76"/>
      <c r="S18" s="77"/>
      <c r="T18" s="74">
        <f t="shared" ref="T18" si="10">S18*Q18</f>
        <v>0</v>
      </c>
      <c r="U18" s="78"/>
      <c r="V18" s="74">
        <f t="shared" ref="V18" si="11">H18*U18</f>
        <v>0</v>
      </c>
      <c r="W18" s="79">
        <f t="shared" ref="W18" si="12">V18+T18+P18+K18</f>
        <v>0</v>
      </c>
      <c r="X18" s="80"/>
    </row>
    <row r="19" spans="1:25" ht="15" thickBot="1" x14ac:dyDescent="0.35">
      <c r="A19" s="165">
        <f t="shared" si="6"/>
        <v>12</v>
      </c>
      <c r="B19" s="233" t="s">
        <v>247</v>
      </c>
      <c r="C19" s="234"/>
      <c r="D19" s="167"/>
      <c r="E19" s="168"/>
      <c r="F19" s="169"/>
      <c r="G19" s="167"/>
      <c r="H19" s="168"/>
      <c r="I19" s="170"/>
      <c r="J19" s="167"/>
      <c r="K19" s="171">
        <f>J19*H19</f>
        <v>0</v>
      </c>
      <c r="L19" s="172"/>
      <c r="M19" s="167"/>
      <c r="N19" s="173">
        <f>ROUND(L19*M19*H19,0)</f>
        <v>0</v>
      </c>
      <c r="O19" s="174"/>
      <c r="P19" s="171">
        <f>O19*N19</f>
        <v>0</v>
      </c>
      <c r="Q19" s="167"/>
      <c r="R19" s="173"/>
      <c r="S19" s="174"/>
      <c r="T19" s="171">
        <f t="shared" ref="T19:T51" si="13">S19*Q19</f>
        <v>0</v>
      </c>
      <c r="U19" s="175"/>
      <c r="V19" s="171">
        <f>H19*U19</f>
        <v>0</v>
      </c>
      <c r="W19" s="176">
        <f t="shared" ref="W19:W51" si="14">V19+T19+P19+K19</f>
        <v>0</v>
      </c>
      <c r="X19" s="178"/>
      <c r="Y19" s="179"/>
    </row>
    <row r="20" spans="1:25" ht="15" thickBot="1" x14ac:dyDescent="0.35">
      <c r="A20" s="80">
        <f t="shared" si="6"/>
        <v>13</v>
      </c>
      <c r="B20" s="232" t="s">
        <v>64</v>
      </c>
      <c r="C20" s="232" t="str">
        <f>IFERROR(VLOOKUP(B20,'Importer Data Fields'!C2:D358,2,0),"")</f>
        <v>Vice President</v>
      </c>
      <c r="D20" s="70"/>
      <c r="E20" s="71"/>
      <c r="F20" s="72"/>
      <c r="G20" s="70"/>
      <c r="H20" s="71"/>
      <c r="I20" s="73" t="s">
        <v>238</v>
      </c>
      <c r="J20" s="70"/>
      <c r="K20" s="74">
        <f t="shared" ref="K20:K51" si="15">J20*H20</f>
        <v>0</v>
      </c>
      <c r="L20" s="75"/>
      <c r="M20" s="70"/>
      <c r="N20" s="76">
        <f t="shared" ref="N20:N51" si="16">ROUND(L20*M20*H20,0)</f>
        <v>0</v>
      </c>
      <c r="O20" s="77"/>
      <c r="P20" s="74">
        <f t="shared" ref="P20:P51" si="17">O20*N20</f>
        <v>0</v>
      </c>
      <c r="Q20" s="70"/>
      <c r="R20" s="76"/>
      <c r="S20" s="77"/>
      <c r="T20" s="74">
        <f t="shared" si="13"/>
        <v>0</v>
      </c>
      <c r="U20" s="78"/>
      <c r="V20" s="74">
        <f t="shared" ref="V20" si="18">H20*U20</f>
        <v>0</v>
      </c>
      <c r="W20" s="79">
        <f t="shared" si="14"/>
        <v>0</v>
      </c>
      <c r="X20" s="80"/>
    </row>
    <row r="21" spans="1:25" ht="15" thickBot="1" x14ac:dyDescent="0.35">
      <c r="A21" s="80">
        <f t="shared" si="6"/>
        <v>14</v>
      </c>
      <c r="B21" s="80"/>
      <c r="C21" s="232" t="str">
        <f>IFERROR(VLOOKUP(B21,'Importer Data Fields'!C3:D359,2,0),"")</f>
        <v/>
      </c>
      <c r="D21" s="70"/>
      <c r="E21" s="71"/>
      <c r="F21" s="72"/>
      <c r="G21" s="70"/>
      <c r="H21" s="71"/>
      <c r="I21" s="73" t="s">
        <v>238</v>
      </c>
      <c r="J21" s="70"/>
      <c r="K21" s="74">
        <f t="shared" si="15"/>
        <v>0</v>
      </c>
      <c r="L21" s="75"/>
      <c r="M21" s="70"/>
      <c r="N21" s="76">
        <f t="shared" si="16"/>
        <v>0</v>
      </c>
      <c r="O21" s="77"/>
      <c r="P21" s="74">
        <f t="shared" si="17"/>
        <v>0</v>
      </c>
      <c r="Q21" s="70"/>
      <c r="R21" s="76"/>
      <c r="S21" s="77"/>
      <c r="T21" s="74">
        <f t="shared" si="13"/>
        <v>0</v>
      </c>
      <c r="U21" s="78"/>
      <c r="V21" s="74">
        <f>H21*U21</f>
        <v>0</v>
      </c>
      <c r="W21" s="79">
        <f t="shared" si="14"/>
        <v>0</v>
      </c>
      <c r="X21" s="80"/>
    </row>
    <row r="22" spans="1:25" ht="15" thickBot="1" x14ac:dyDescent="0.35">
      <c r="A22" s="80">
        <f t="shared" si="6"/>
        <v>15</v>
      </c>
      <c r="B22" s="80" t="s">
        <v>112</v>
      </c>
      <c r="C22" s="232" t="str">
        <f>IFERROR(VLOOKUP(B22,'Importer Data Fields'!C4:D360,2,0),"")</f>
        <v>Permit Requirements</v>
      </c>
      <c r="D22" s="70"/>
      <c r="E22" s="71"/>
      <c r="F22" s="72"/>
      <c r="G22" s="70"/>
      <c r="H22" s="71"/>
      <c r="I22" s="73" t="s">
        <v>238</v>
      </c>
      <c r="J22" s="70"/>
      <c r="K22" s="74">
        <f t="shared" si="15"/>
        <v>0</v>
      </c>
      <c r="L22" s="75"/>
      <c r="M22" s="70"/>
      <c r="N22" s="76">
        <f t="shared" si="16"/>
        <v>0</v>
      </c>
      <c r="O22" s="77"/>
      <c r="P22" s="74">
        <f t="shared" si="17"/>
        <v>0</v>
      </c>
      <c r="Q22" s="70"/>
      <c r="R22" s="76"/>
      <c r="S22" s="77"/>
      <c r="T22" s="74">
        <f t="shared" si="13"/>
        <v>0</v>
      </c>
      <c r="U22" s="78"/>
      <c r="V22" s="74">
        <f t="shared" ref="V22:V51" si="19">H22*U22</f>
        <v>0</v>
      </c>
      <c r="W22" s="79">
        <f t="shared" si="14"/>
        <v>0</v>
      </c>
      <c r="X22" s="80"/>
    </row>
    <row r="23" spans="1:25" ht="15" thickBot="1" x14ac:dyDescent="0.35">
      <c r="A23" s="80">
        <f t="shared" si="6"/>
        <v>16</v>
      </c>
      <c r="B23" s="80" t="s">
        <v>112</v>
      </c>
      <c r="C23" s="232" t="str">
        <f>IFERROR(VLOOKUP(B23,'Importer Data Fields'!C5:D361,2,0),"")</f>
        <v>Permit Requirements</v>
      </c>
      <c r="D23" s="70"/>
      <c r="E23" s="71"/>
      <c r="F23" s="72"/>
      <c r="G23" s="70"/>
      <c r="H23" s="71"/>
      <c r="I23" s="73" t="s">
        <v>238</v>
      </c>
      <c r="J23" s="70"/>
      <c r="K23" s="74">
        <f t="shared" si="15"/>
        <v>0</v>
      </c>
      <c r="L23" s="75"/>
      <c r="M23" s="70"/>
      <c r="N23" s="76">
        <f t="shared" si="16"/>
        <v>0</v>
      </c>
      <c r="O23" s="77"/>
      <c r="P23" s="74">
        <f t="shared" si="17"/>
        <v>0</v>
      </c>
      <c r="Q23" s="70"/>
      <c r="R23" s="76"/>
      <c r="S23" s="77"/>
      <c r="T23" s="74">
        <f t="shared" si="13"/>
        <v>0</v>
      </c>
      <c r="U23" s="78"/>
      <c r="V23" s="74">
        <f t="shared" si="19"/>
        <v>0</v>
      </c>
      <c r="W23" s="79">
        <f t="shared" si="14"/>
        <v>0</v>
      </c>
      <c r="X23" s="80"/>
    </row>
    <row r="24" spans="1:25" ht="15" thickBot="1" x14ac:dyDescent="0.35">
      <c r="A24" s="80">
        <f t="shared" si="6"/>
        <v>17</v>
      </c>
      <c r="B24" s="231"/>
      <c r="C24" s="232" t="str">
        <f>IFERROR(VLOOKUP(B24,'Importer Data Fields'!C6:D362,2,0),"")</f>
        <v/>
      </c>
      <c r="D24" s="70"/>
      <c r="E24" s="71"/>
      <c r="F24" s="72"/>
      <c r="G24" s="70"/>
      <c r="H24" s="71"/>
      <c r="I24" s="73"/>
      <c r="J24" s="70"/>
      <c r="K24" s="74">
        <f t="shared" si="15"/>
        <v>0</v>
      </c>
      <c r="L24" s="75"/>
      <c r="M24" s="70"/>
      <c r="N24" s="76">
        <f t="shared" si="16"/>
        <v>0</v>
      </c>
      <c r="O24" s="77"/>
      <c r="P24" s="74">
        <f t="shared" si="17"/>
        <v>0</v>
      </c>
      <c r="Q24" s="70"/>
      <c r="R24" s="76"/>
      <c r="S24" s="77"/>
      <c r="T24" s="74">
        <f t="shared" si="13"/>
        <v>0</v>
      </c>
      <c r="U24" s="78"/>
      <c r="V24" s="74">
        <f t="shared" si="19"/>
        <v>0</v>
      </c>
      <c r="W24" s="79">
        <f t="shared" si="14"/>
        <v>0</v>
      </c>
      <c r="X24" s="80"/>
    </row>
    <row r="25" spans="1:25" ht="15" thickBot="1" x14ac:dyDescent="0.35">
      <c r="A25" s="165">
        <f t="shared" si="6"/>
        <v>18</v>
      </c>
      <c r="B25" s="314" t="s">
        <v>248</v>
      </c>
      <c r="C25" s="315"/>
      <c r="D25" s="167"/>
      <c r="E25" s="168"/>
      <c r="F25" s="169"/>
      <c r="G25" s="167"/>
      <c r="H25" s="168"/>
      <c r="I25" s="170"/>
      <c r="J25" s="167"/>
      <c r="K25" s="171">
        <f t="shared" si="15"/>
        <v>0</v>
      </c>
      <c r="L25" s="172"/>
      <c r="M25" s="167"/>
      <c r="N25" s="173">
        <f t="shared" si="16"/>
        <v>0</v>
      </c>
      <c r="O25" s="174"/>
      <c r="P25" s="171">
        <f t="shared" si="17"/>
        <v>0</v>
      </c>
      <c r="Q25" s="167"/>
      <c r="R25" s="173"/>
      <c r="S25" s="174"/>
      <c r="T25" s="171">
        <f t="shared" si="13"/>
        <v>0</v>
      </c>
      <c r="U25" s="175"/>
      <c r="V25" s="171">
        <f t="shared" si="19"/>
        <v>0</v>
      </c>
      <c r="W25" s="176">
        <f t="shared" si="14"/>
        <v>0</v>
      </c>
      <c r="X25" s="165"/>
      <c r="Y25" s="177">
        <f>SUM(W25:W40)</f>
        <v>0</v>
      </c>
    </row>
    <row r="26" spans="1:25" ht="15" thickBot="1" x14ac:dyDescent="0.35">
      <c r="A26" s="80">
        <f t="shared" si="6"/>
        <v>19</v>
      </c>
      <c r="B26" s="232" t="s">
        <v>249</v>
      </c>
      <c r="C26" s="232" t="str">
        <f>IFERROR(VLOOKUP(B26,'Importer Data Fields'!C:D,2,0),"")</f>
        <v>Maintenance &amp; Site Remediation</v>
      </c>
      <c r="D26" s="70"/>
      <c r="E26" s="71"/>
      <c r="F26" s="72"/>
      <c r="G26" s="70"/>
      <c r="H26" s="71"/>
      <c r="I26" s="73" t="s">
        <v>238</v>
      </c>
      <c r="J26" s="70"/>
      <c r="K26" s="74">
        <f t="shared" si="15"/>
        <v>0</v>
      </c>
      <c r="L26" s="75"/>
      <c r="M26" s="70"/>
      <c r="N26" s="76">
        <f t="shared" si="16"/>
        <v>0</v>
      </c>
      <c r="O26" s="90"/>
      <c r="P26" s="74">
        <f t="shared" si="17"/>
        <v>0</v>
      </c>
      <c r="Q26" s="70"/>
      <c r="R26" s="76"/>
      <c r="S26" s="90"/>
      <c r="T26" s="74">
        <f t="shared" si="13"/>
        <v>0</v>
      </c>
      <c r="U26" s="86"/>
      <c r="V26" s="74">
        <f t="shared" si="19"/>
        <v>0</v>
      </c>
      <c r="W26" s="79">
        <f t="shared" si="14"/>
        <v>0</v>
      </c>
      <c r="X26" s="80"/>
    </row>
    <row r="27" spans="1:25" ht="15" thickBot="1" x14ac:dyDescent="0.35">
      <c r="A27" s="80">
        <f t="shared" si="6"/>
        <v>20</v>
      </c>
      <c r="B27" s="80" t="s">
        <v>250</v>
      </c>
      <c r="C27" s="232" t="str">
        <f>IFERROR(VLOOKUP(B27,'Importer Data Fields'!C:D,2,0),"")</f>
        <v>Structure Demolition</v>
      </c>
      <c r="D27" s="70"/>
      <c r="E27" s="71"/>
      <c r="F27" s="72"/>
      <c r="G27" s="70"/>
      <c r="H27" s="71"/>
      <c r="I27" s="73" t="s">
        <v>238</v>
      </c>
      <c r="J27" s="70"/>
      <c r="K27" s="74">
        <f t="shared" si="15"/>
        <v>0</v>
      </c>
      <c r="L27" s="75"/>
      <c r="M27" s="70"/>
      <c r="N27" s="76">
        <f t="shared" si="16"/>
        <v>0</v>
      </c>
      <c r="O27" s="90"/>
      <c r="P27" s="74">
        <f t="shared" si="17"/>
        <v>0</v>
      </c>
      <c r="Q27" s="70"/>
      <c r="R27" s="76"/>
      <c r="S27" s="90"/>
      <c r="T27" s="74">
        <f t="shared" si="13"/>
        <v>0</v>
      </c>
      <c r="U27" s="86"/>
      <c r="V27" s="74">
        <f t="shared" si="19"/>
        <v>0</v>
      </c>
      <c r="W27" s="79">
        <f t="shared" si="14"/>
        <v>0</v>
      </c>
      <c r="X27" s="80"/>
    </row>
    <row r="28" spans="1:25" ht="15" thickBot="1" x14ac:dyDescent="0.35">
      <c r="A28" s="80">
        <f t="shared" si="6"/>
        <v>21</v>
      </c>
      <c r="B28" s="80" t="s">
        <v>250</v>
      </c>
      <c r="C28" s="232" t="str">
        <f>IFERROR(VLOOKUP(B28,'Importer Data Fields'!C:D,2,0),"")</f>
        <v>Structure Demolition</v>
      </c>
      <c r="D28" s="70"/>
      <c r="E28" s="71"/>
      <c r="F28" s="72"/>
      <c r="G28" s="70"/>
      <c r="H28" s="71"/>
      <c r="I28" s="73" t="s">
        <v>238</v>
      </c>
      <c r="J28" s="70"/>
      <c r="K28" s="74">
        <f t="shared" si="15"/>
        <v>0</v>
      </c>
      <c r="L28" s="75"/>
      <c r="M28" s="70"/>
      <c r="N28" s="76">
        <f t="shared" si="16"/>
        <v>0</v>
      </c>
      <c r="O28" s="90"/>
      <c r="P28" s="74">
        <f t="shared" si="17"/>
        <v>0</v>
      </c>
      <c r="Q28" s="70"/>
      <c r="R28" s="76"/>
      <c r="S28" s="90"/>
      <c r="T28" s="74">
        <f t="shared" si="13"/>
        <v>0</v>
      </c>
      <c r="U28" s="86"/>
      <c r="V28" s="74">
        <f t="shared" si="19"/>
        <v>0</v>
      </c>
      <c r="W28" s="79">
        <f t="shared" si="14"/>
        <v>0</v>
      </c>
      <c r="X28" s="80"/>
    </row>
    <row r="29" spans="1:25" ht="15" thickBot="1" x14ac:dyDescent="0.35">
      <c r="A29" s="80">
        <f t="shared" si="6"/>
        <v>22</v>
      </c>
      <c r="B29" s="80" t="s">
        <v>251</v>
      </c>
      <c r="C29" s="232" t="str">
        <f>IFERROR(VLOOKUP(B29,'Importer Data Fields'!C:D,2,0),"")</f>
        <v>Selective Interior Demolition</v>
      </c>
      <c r="D29" s="70"/>
      <c r="E29" s="71"/>
      <c r="F29" s="72"/>
      <c r="G29" s="70"/>
      <c r="H29" s="71"/>
      <c r="I29" s="73" t="s">
        <v>108</v>
      </c>
      <c r="J29" s="70"/>
      <c r="K29" s="74">
        <f t="shared" si="15"/>
        <v>0</v>
      </c>
      <c r="L29" s="75"/>
      <c r="M29" s="70"/>
      <c r="N29" s="76">
        <f t="shared" si="16"/>
        <v>0</v>
      </c>
      <c r="O29" s="90"/>
      <c r="P29" s="74">
        <f t="shared" si="17"/>
        <v>0</v>
      </c>
      <c r="Q29" s="70"/>
      <c r="R29" s="76"/>
      <c r="S29" s="90"/>
      <c r="T29" s="74">
        <f t="shared" si="13"/>
        <v>0</v>
      </c>
      <c r="U29" s="86"/>
      <c r="V29" s="74">
        <f t="shared" si="19"/>
        <v>0</v>
      </c>
      <c r="W29" s="79">
        <f t="shared" si="14"/>
        <v>0</v>
      </c>
      <c r="X29" s="80"/>
    </row>
    <row r="30" spans="1:25" ht="15" thickBot="1" x14ac:dyDescent="0.35">
      <c r="A30" s="80">
        <f t="shared" si="6"/>
        <v>23</v>
      </c>
      <c r="B30" s="80" t="s">
        <v>251</v>
      </c>
      <c r="C30" s="232" t="str">
        <f>IFERROR(VLOOKUP(B30,'Importer Data Fields'!C:D,2,0),"")</f>
        <v>Selective Interior Demolition</v>
      </c>
      <c r="D30" s="70"/>
      <c r="E30" s="71"/>
      <c r="F30" s="72"/>
      <c r="G30" s="70"/>
      <c r="H30" s="71"/>
      <c r="I30" s="73" t="s">
        <v>238</v>
      </c>
      <c r="J30" s="70"/>
      <c r="K30" s="74">
        <f t="shared" si="15"/>
        <v>0</v>
      </c>
      <c r="L30" s="75"/>
      <c r="M30" s="70"/>
      <c r="N30" s="76">
        <f t="shared" si="16"/>
        <v>0</v>
      </c>
      <c r="O30" s="90"/>
      <c r="P30" s="74">
        <f t="shared" si="17"/>
        <v>0</v>
      </c>
      <c r="Q30" s="70"/>
      <c r="R30" s="76"/>
      <c r="S30" s="90"/>
      <c r="T30" s="74">
        <f t="shared" si="13"/>
        <v>0</v>
      </c>
      <c r="U30" s="86"/>
      <c r="V30" s="74">
        <f t="shared" si="19"/>
        <v>0</v>
      </c>
      <c r="W30" s="79">
        <f t="shared" si="14"/>
        <v>0</v>
      </c>
      <c r="X30" s="80"/>
    </row>
    <row r="31" spans="1:25" ht="15" thickBot="1" x14ac:dyDescent="0.35">
      <c r="A31" s="80">
        <f t="shared" si="6"/>
        <v>24</v>
      </c>
      <c r="B31" s="80" t="s">
        <v>251</v>
      </c>
      <c r="C31" s="232" t="str">
        <f>IFERROR(VLOOKUP(B31,'Importer Data Fields'!C:D,2,0),"")</f>
        <v>Selective Interior Demolition</v>
      </c>
      <c r="D31" s="70"/>
      <c r="E31" s="71"/>
      <c r="F31" s="72"/>
      <c r="G31" s="70"/>
      <c r="H31" s="71"/>
      <c r="I31" s="73" t="s">
        <v>252</v>
      </c>
      <c r="J31" s="70"/>
      <c r="K31" s="74">
        <f t="shared" si="15"/>
        <v>0</v>
      </c>
      <c r="L31" s="75"/>
      <c r="M31" s="70"/>
      <c r="N31" s="76">
        <f t="shared" si="16"/>
        <v>0</v>
      </c>
      <c r="O31" s="90"/>
      <c r="P31" s="74">
        <f t="shared" si="17"/>
        <v>0</v>
      </c>
      <c r="Q31" s="70"/>
      <c r="R31" s="76"/>
      <c r="S31" s="90"/>
      <c r="T31" s="74">
        <f t="shared" si="13"/>
        <v>0</v>
      </c>
      <c r="U31" s="86"/>
      <c r="V31" s="74">
        <f t="shared" si="19"/>
        <v>0</v>
      </c>
      <c r="W31" s="79">
        <f t="shared" si="14"/>
        <v>0</v>
      </c>
      <c r="X31" s="80"/>
    </row>
    <row r="32" spans="1:25" ht="15" thickBot="1" x14ac:dyDescent="0.35">
      <c r="A32" s="80">
        <f t="shared" si="6"/>
        <v>25</v>
      </c>
      <c r="B32" s="80" t="s">
        <v>250</v>
      </c>
      <c r="C32" s="232" t="str">
        <f>IFERROR(VLOOKUP(B32,'Importer Data Fields'!C:D,2,0),"")</f>
        <v>Structure Demolition</v>
      </c>
      <c r="D32" s="70"/>
      <c r="E32" s="71"/>
      <c r="F32" s="72"/>
      <c r="G32" s="70"/>
      <c r="H32" s="71"/>
      <c r="I32" s="73" t="s">
        <v>238</v>
      </c>
      <c r="J32" s="70"/>
      <c r="K32" s="74">
        <f t="shared" si="15"/>
        <v>0</v>
      </c>
      <c r="L32" s="75"/>
      <c r="M32" s="70"/>
      <c r="N32" s="76">
        <f t="shared" si="16"/>
        <v>0</v>
      </c>
      <c r="O32" s="90"/>
      <c r="P32" s="74">
        <f t="shared" si="17"/>
        <v>0</v>
      </c>
      <c r="Q32" s="70"/>
      <c r="R32" s="76"/>
      <c r="S32" s="90"/>
      <c r="T32" s="74">
        <f t="shared" si="13"/>
        <v>0</v>
      </c>
      <c r="U32" s="86"/>
      <c r="V32" s="74">
        <f t="shared" si="19"/>
        <v>0</v>
      </c>
      <c r="W32" s="79">
        <f t="shared" si="14"/>
        <v>0</v>
      </c>
      <c r="X32" s="80"/>
    </row>
    <row r="33" spans="1:50" ht="15" thickBot="1" x14ac:dyDescent="0.35">
      <c r="A33" s="80">
        <f t="shared" si="6"/>
        <v>26</v>
      </c>
      <c r="B33" s="80" t="s">
        <v>251</v>
      </c>
      <c r="C33" s="232" t="str">
        <f>IFERROR(VLOOKUP(B33,'Importer Data Fields'!C:D,2,0),"")</f>
        <v>Selective Interior Demolition</v>
      </c>
      <c r="D33" s="70"/>
      <c r="E33" s="71"/>
      <c r="F33" s="72"/>
      <c r="G33" s="70"/>
      <c r="H33" s="71"/>
      <c r="I33" s="73" t="s">
        <v>238</v>
      </c>
      <c r="J33" s="70"/>
      <c r="K33" s="74">
        <f t="shared" si="15"/>
        <v>0</v>
      </c>
      <c r="L33" s="75"/>
      <c r="M33" s="70"/>
      <c r="N33" s="76">
        <f t="shared" si="16"/>
        <v>0</v>
      </c>
      <c r="O33" s="90"/>
      <c r="P33" s="74">
        <f t="shared" si="17"/>
        <v>0</v>
      </c>
      <c r="Q33" s="70"/>
      <c r="R33" s="76"/>
      <c r="S33" s="90"/>
      <c r="T33" s="74">
        <f t="shared" si="13"/>
        <v>0</v>
      </c>
      <c r="U33" s="86"/>
      <c r="V33" s="74">
        <f t="shared" si="19"/>
        <v>0</v>
      </c>
      <c r="W33" s="79">
        <f t="shared" si="14"/>
        <v>0</v>
      </c>
      <c r="X33" s="80"/>
    </row>
    <row r="34" spans="1:50" ht="15" thickBot="1" x14ac:dyDescent="0.35">
      <c r="A34" s="80">
        <f t="shared" si="6"/>
        <v>27</v>
      </c>
      <c r="B34" s="80" t="s">
        <v>253</v>
      </c>
      <c r="C34" s="232" t="str">
        <f>IFERROR(VLOOKUP(B34,'Importer Data Fields'!C:D,2,0),"")</f>
        <v>Traffic Assessment</v>
      </c>
      <c r="D34" s="70"/>
      <c r="E34" s="71"/>
      <c r="F34" s="72"/>
      <c r="G34" s="70"/>
      <c r="H34" s="71"/>
      <c r="I34" s="73"/>
      <c r="J34" s="70"/>
      <c r="K34" s="74">
        <f t="shared" si="15"/>
        <v>0</v>
      </c>
      <c r="L34" s="75"/>
      <c r="M34" s="70"/>
      <c r="N34" s="76">
        <f t="shared" si="16"/>
        <v>0</v>
      </c>
      <c r="O34" s="90"/>
      <c r="P34" s="74">
        <f t="shared" si="17"/>
        <v>0</v>
      </c>
      <c r="Q34" s="70"/>
      <c r="R34" s="76"/>
      <c r="S34" s="90"/>
      <c r="T34" s="74">
        <f t="shared" si="13"/>
        <v>0</v>
      </c>
      <c r="U34" s="86"/>
      <c r="V34" s="74">
        <f t="shared" si="19"/>
        <v>0</v>
      </c>
      <c r="W34" s="79">
        <f t="shared" si="14"/>
        <v>0</v>
      </c>
      <c r="X34" s="80"/>
    </row>
    <row r="35" spans="1:50" ht="15" thickBot="1" x14ac:dyDescent="0.35">
      <c r="A35" s="80">
        <f t="shared" si="6"/>
        <v>28</v>
      </c>
      <c r="B35" s="80" t="s">
        <v>254</v>
      </c>
      <c r="C35" s="232" t="str">
        <f>IFERROR(VLOOKUP(B35,'Importer Data Fields'!C:D,2,0),"")</f>
        <v>Environmental Assessments</v>
      </c>
      <c r="D35" s="70"/>
      <c r="E35" s="71"/>
      <c r="F35" s="72"/>
      <c r="G35" s="70"/>
      <c r="H35" s="71"/>
      <c r="I35" s="73" t="s">
        <v>108</v>
      </c>
      <c r="J35" s="70"/>
      <c r="K35" s="74">
        <f t="shared" si="15"/>
        <v>0</v>
      </c>
      <c r="L35" s="75"/>
      <c r="M35" s="70"/>
      <c r="N35" s="76">
        <f t="shared" si="16"/>
        <v>0</v>
      </c>
      <c r="O35" s="90"/>
      <c r="P35" s="74">
        <f t="shared" si="17"/>
        <v>0</v>
      </c>
      <c r="Q35" s="70"/>
      <c r="R35" s="76"/>
      <c r="S35" s="90"/>
      <c r="T35" s="74">
        <f t="shared" si="13"/>
        <v>0</v>
      </c>
      <c r="U35" s="86"/>
      <c r="V35" s="74">
        <f t="shared" si="19"/>
        <v>0</v>
      </c>
      <c r="W35" s="79">
        <f t="shared" si="14"/>
        <v>0</v>
      </c>
      <c r="X35" s="80"/>
    </row>
    <row r="36" spans="1:50" ht="15" thickBot="1" x14ac:dyDescent="0.35">
      <c r="A36" s="80">
        <f t="shared" si="6"/>
        <v>29</v>
      </c>
      <c r="B36" s="80" t="s">
        <v>250</v>
      </c>
      <c r="C36" s="232" t="str">
        <f>IFERROR(VLOOKUP(B36,'Importer Data Fields'!C:D,2,0),"")</f>
        <v>Structure Demolition</v>
      </c>
      <c r="D36" s="70"/>
      <c r="E36" s="71"/>
      <c r="F36" s="72"/>
      <c r="G36" s="70"/>
      <c r="H36" s="71"/>
      <c r="I36" s="73" t="s">
        <v>238</v>
      </c>
      <c r="J36" s="70"/>
      <c r="K36" s="74">
        <f t="shared" si="15"/>
        <v>0</v>
      </c>
      <c r="L36" s="75"/>
      <c r="M36" s="70"/>
      <c r="N36" s="76">
        <f t="shared" si="16"/>
        <v>0</v>
      </c>
      <c r="O36" s="90"/>
      <c r="P36" s="74">
        <f t="shared" si="17"/>
        <v>0</v>
      </c>
      <c r="Q36" s="70"/>
      <c r="R36" s="76"/>
      <c r="S36" s="90"/>
      <c r="T36" s="74">
        <f t="shared" si="13"/>
        <v>0</v>
      </c>
      <c r="U36" s="86"/>
      <c r="V36" s="74">
        <f t="shared" si="19"/>
        <v>0</v>
      </c>
      <c r="W36" s="79">
        <f t="shared" si="14"/>
        <v>0</v>
      </c>
      <c r="X36" s="80"/>
    </row>
    <row r="37" spans="1:50" ht="15" thickBot="1" x14ac:dyDescent="0.35">
      <c r="A37" s="80">
        <f t="shared" si="6"/>
        <v>30</v>
      </c>
      <c r="B37" s="80"/>
      <c r="C37" s="232" t="str">
        <f>IFERROR(VLOOKUP(B37,'Importer Data Fields'!C:D,2,0),"")</f>
        <v/>
      </c>
      <c r="D37" s="70"/>
      <c r="E37" s="71"/>
      <c r="F37" s="72"/>
      <c r="G37" s="70"/>
      <c r="H37" s="71"/>
      <c r="I37" s="73" t="s">
        <v>238</v>
      </c>
      <c r="J37" s="70"/>
      <c r="K37" s="74">
        <f t="shared" si="15"/>
        <v>0</v>
      </c>
      <c r="L37" s="75"/>
      <c r="M37" s="70"/>
      <c r="N37" s="76">
        <f t="shared" si="16"/>
        <v>0</v>
      </c>
      <c r="O37" s="90"/>
      <c r="P37" s="74">
        <f t="shared" si="17"/>
        <v>0</v>
      </c>
      <c r="Q37" s="70"/>
      <c r="R37" s="76"/>
      <c r="S37" s="90"/>
      <c r="T37" s="74">
        <f t="shared" si="13"/>
        <v>0</v>
      </c>
      <c r="U37" s="86"/>
      <c r="V37" s="74">
        <f t="shared" si="19"/>
        <v>0</v>
      </c>
      <c r="W37" s="79">
        <f t="shared" si="14"/>
        <v>0</v>
      </c>
      <c r="X37" s="80"/>
    </row>
    <row r="38" spans="1:50" ht="15" thickBot="1" x14ac:dyDescent="0.35">
      <c r="A38" s="80">
        <f t="shared" si="6"/>
        <v>31</v>
      </c>
      <c r="B38" s="80" t="s">
        <v>249</v>
      </c>
      <c r="C38" s="232" t="str">
        <f>IFERROR(VLOOKUP(B38,'Importer Data Fields'!C:D,2,0),"")</f>
        <v>Maintenance &amp; Site Remediation</v>
      </c>
      <c r="D38" s="70"/>
      <c r="E38" s="71"/>
      <c r="F38" s="72"/>
      <c r="G38" s="70"/>
      <c r="H38" s="71"/>
      <c r="I38" s="73" t="s">
        <v>238</v>
      </c>
      <c r="J38" s="70"/>
      <c r="K38" s="74">
        <f t="shared" si="15"/>
        <v>0</v>
      </c>
      <c r="L38" s="75"/>
      <c r="M38" s="70"/>
      <c r="N38" s="76">
        <f t="shared" si="16"/>
        <v>0</v>
      </c>
      <c r="O38" s="90"/>
      <c r="P38" s="74">
        <f t="shared" si="17"/>
        <v>0</v>
      </c>
      <c r="Q38" s="70"/>
      <c r="R38" s="76"/>
      <c r="S38" s="90"/>
      <c r="T38" s="74">
        <f t="shared" si="13"/>
        <v>0</v>
      </c>
      <c r="U38" s="86"/>
      <c r="V38" s="74">
        <f t="shared" si="19"/>
        <v>0</v>
      </c>
      <c r="W38" s="79">
        <f t="shared" si="14"/>
        <v>0</v>
      </c>
      <c r="X38" s="80"/>
    </row>
    <row r="39" spans="1:50" ht="15" thickBot="1" x14ac:dyDescent="0.35">
      <c r="A39" s="80">
        <f t="shared" si="6"/>
        <v>32</v>
      </c>
      <c r="B39" s="80"/>
      <c r="C39" s="232" t="str">
        <f>IFERROR(VLOOKUP(B39,'Importer Data Fields'!C:D,2,0),"")</f>
        <v/>
      </c>
      <c r="D39" s="70"/>
      <c r="E39" s="71"/>
      <c r="F39" s="72"/>
      <c r="G39" s="70"/>
      <c r="H39" s="71"/>
      <c r="I39" s="73" t="s">
        <v>252</v>
      </c>
      <c r="J39" s="70"/>
      <c r="K39" s="74">
        <f t="shared" si="15"/>
        <v>0</v>
      </c>
      <c r="L39" s="75"/>
      <c r="M39" s="70"/>
      <c r="N39" s="76">
        <f t="shared" si="16"/>
        <v>0</v>
      </c>
      <c r="O39" s="90"/>
      <c r="P39" s="74">
        <f t="shared" si="17"/>
        <v>0</v>
      </c>
      <c r="Q39" s="70"/>
      <c r="R39" s="76"/>
      <c r="S39" s="90"/>
      <c r="T39" s="74">
        <f t="shared" si="13"/>
        <v>0</v>
      </c>
      <c r="U39" s="86"/>
      <c r="V39" s="74">
        <f t="shared" si="19"/>
        <v>0</v>
      </c>
      <c r="W39" s="79">
        <f t="shared" si="14"/>
        <v>0</v>
      </c>
      <c r="X39" s="80"/>
    </row>
    <row r="40" spans="1:50" ht="15" thickBot="1" x14ac:dyDescent="0.35">
      <c r="A40" s="80">
        <f t="shared" si="6"/>
        <v>33</v>
      </c>
      <c r="B40" s="231"/>
      <c r="C40" s="232" t="str">
        <f>IFERROR(VLOOKUP(B40,'Importer Data Fields'!C:D,2,0),"")</f>
        <v/>
      </c>
      <c r="D40" s="70"/>
      <c r="E40" s="71"/>
      <c r="F40" s="72"/>
      <c r="G40" s="70"/>
      <c r="H40" s="71"/>
      <c r="I40" s="73" t="s">
        <v>238</v>
      </c>
      <c r="J40" s="70"/>
      <c r="K40" s="74">
        <f t="shared" si="15"/>
        <v>0</v>
      </c>
      <c r="L40" s="75"/>
      <c r="M40" s="70"/>
      <c r="N40" s="76">
        <f t="shared" si="16"/>
        <v>0</v>
      </c>
      <c r="O40" s="90"/>
      <c r="P40" s="74">
        <f t="shared" si="17"/>
        <v>0</v>
      </c>
      <c r="Q40" s="70"/>
      <c r="R40" s="76"/>
      <c r="S40" s="90"/>
      <c r="T40" s="74">
        <f t="shared" si="13"/>
        <v>0</v>
      </c>
      <c r="U40" s="86"/>
      <c r="V40" s="74">
        <f t="shared" si="19"/>
        <v>0</v>
      </c>
      <c r="W40" s="79">
        <f t="shared" si="14"/>
        <v>0</v>
      </c>
      <c r="X40" s="80"/>
    </row>
    <row r="41" spans="1:50" ht="15" thickBot="1" x14ac:dyDescent="0.35">
      <c r="A41" s="165">
        <f t="shared" si="6"/>
        <v>34</v>
      </c>
      <c r="B41" s="314" t="s">
        <v>255</v>
      </c>
      <c r="C41" s="315"/>
      <c r="D41" s="167"/>
      <c r="E41" s="168"/>
      <c r="F41" s="169"/>
      <c r="G41" s="167"/>
      <c r="H41" s="168"/>
      <c r="I41" s="170"/>
      <c r="J41" s="167"/>
      <c r="K41" s="171">
        <f t="shared" si="15"/>
        <v>0</v>
      </c>
      <c r="L41" s="172"/>
      <c r="M41" s="167"/>
      <c r="N41" s="173">
        <f t="shared" si="16"/>
        <v>0</v>
      </c>
      <c r="O41" s="174"/>
      <c r="P41" s="171">
        <f t="shared" si="17"/>
        <v>0</v>
      </c>
      <c r="Q41" s="167"/>
      <c r="R41" s="173"/>
      <c r="S41" s="174"/>
      <c r="T41" s="171">
        <f t="shared" si="13"/>
        <v>0</v>
      </c>
      <c r="U41" s="175"/>
      <c r="V41" s="171">
        <f t="shared" si="19"/>
        <v>0</v>
      </c>
      <c r="W41" s="176">
        <f t="shared" ref="W41:W48" si="20">V41+T41+P41+K41</f>
        <v>0</v>
      </c>
      <c r="X41" s="165"/>
      <c r="Y41" s="177">
        <f>SUM(W41:W52)</f>
        <v>0</v>
      </c>
      <c r="AC41" s="154"/>
      <c r="AD41" s="131"/>
      <c r="AE41" s="131"/>
      <c r="AF41" s="131"/>
      <c r="AG41" s="131"/>
      <c r="AH41" s="131"/>
      <c r="AI41" s="150"/>
      <c r="AJ41" s="131"/>
      <c r="AK41" s="84"/>
      <c r="AL41" s="151"/>
      <c r="AM41" s="131"/>
      <c r="AN41" s="152"/>
      <c r="AO41" s="153"/>
      <c r="AP41" s="84"/>
      <c r="AQ41" s="131"/>
      <c r="AR41" s="152"/>
      <c r="AS41" s="153"/>
      <c r="AT41" s="84"/>
      <c r="AU41" s="153"/>
      <c r="AV41" s="84"/>
      <c r="AW41" s="84"/>
      <c r="AX41" s="155"/>
    </row>
    <row r="42" spans="1:50" ht="15" thickBot="1" x14ac:dyDescent="0.35">
      <c r="A42" s="80">
        <f t="shared" si="6"/>
        <v>35</v>
      </c>
      <c r="B42" s="232"/>
      <c r="C42" s="232" t="str">
        <f>IFERROR(VLOOKUP(B42,'Importer Data Fields'!C:D,2,0),"")</f>
        <v/>
      </c>
      <c r="D42" s="70"/>
      <c r="E42" s="71"/>
      <c r="F42" s="72"/>
      <c r="G42" s="70"/>
      <c r="H42" s="71"/>
      <c r="I42" s="73"/>
      <c r="J42" s="70"/>
      <c r="K42" s="74">
        <f t="shared" si="15"/>
        <v>0</v>
      </c>
      <c r="L42" s="75"/>
      <c r="M42" s="70"/>
      <c r="N42" s="76">
        <f t="shared" si="16"/>
        <v>0</v>
      </c>
      <c r="O42" s="77"/>
      <c r="P42" s="74">
        <f t="shared" si="17"/>
        <v>0</v>
      </c>
      <c r="Q42" s="70"/>
      <c r="R42" s="76"/>
      <c r="S42" s="77"/>
      <c r="T42" s="74">
        <f t="shared" si="13"/>
        <v>0</v>
      </c>
      <c r="U42" s="78"/>
      <c r="V42" s="74">
        <f t="shared" si="19"/>
        <v>0</v>
      </c>
      <c r="W42" s="79">
        <f t="shared" si="20"/>
        <v>0</v>
      </c>
      <c r="X42" s="80"/>
      <c r="AC42" s="154"/>
      <c r="AD42" s="131"/>
      <c r="AE42" s="131"/>
      <c r="AF42" s="131"/>
      <c r="AG42" s="131"/>
      <c r="AH42" s="131"/>
      <c r="AI42" s="150"/>
      <c r="AJ42" s="131"/>
      <c r="AK42" s="84"/>
      <c r="AL42" s="151"/>
      <c r="AM42" s="131"/>
      <c r="AN42" s="152"/>
      <c r="AO42" s="153"/>
      <c r="AP42" s="84"/>
      <c r="AQ42" s="131"/>
      <c r="AR42" s="152"/>
      <c r="AS42" s="153"/>
      <c r="AT42" s="84"/>
      <c r="AU42" s="153"/>
      <c r="AV42" s="84"/>
      <c r="AW42" s="84"/>
    </row>
    <row r="43" spans="1:50" ht="15" thickBot="1" x14ac:dyDescent="0.35">
      <c r="A43" s="80">
        <f t="shared" si="6"/>
        <v>36</v>
      </c>
      <c r="B43" s="80"/>
      <c r="C43" s="232" t="str">
        <f>IFERROR(VLOOKUP(B43,'Importer Data Fields'!C:D,2,0),"")</f>
        <v/>
      </c>
      <c r="D43" s="70"/>
      <c r="E43" s="71"/>
      <c r="F43" s="72"/>
      <c r="G43" s="71"/>
      <c r="H43" s="71"/>
      <c r="I43" s="73" t="s">
        <v>252</v>
      </c>
      <c r="J43" s="70"/>
      <c r="K43" s="74">
        <f t="shared" si="15"/>
        <v>0</v>
      </c>
      <c r="L43" s="75"/>
      <c r="M43" s="70"/>
      <c r="N43" s="76">
        <f t="shared" si="16"/>
        <v>0</v>
      </c>
      <c r="O43" s="77"/>
      <c r="P43" s="74">
        <f t="shared" si="17"/>
        <v>0</v>
      </c>
      <c r="Q43" s="70"/>
      <c r="R43" s="76"/>
      <c r="S43" s="77"/>
      <c r="T43" s="74">
        <f t="shared" si="13"/>
        <v>0</v>
      </c>
      <c r="U43" s="78"/>
      <c r="V43" s="74">
        <f t="shared" si="19"/>
        <v>0</v>
      </c>
      <c r="W43" s="79">
        <f t="shared" si="20"/>
        <v>0</v>
      </c>
      <c r="X43" s="80"/>
      <c r="AC43" s="154"/>
      <c r="AD43" s="131"/>
      <c r="AE43" s="131"/>
      <c r="AF43" s="131"/>
      <c r="AG43" s="131"/>
      <c r="AH43" s="131"/>
      <c r="AI43" s="150"/>
      <c r="AJ43" s="131"/>
      <c r="AK43" s="84"/>
      <c r="AL43" s="151"/>
      <c r="AM43" s="131"/>
      <c r="AN43" s="152"/>
      <c r="AO43" s="153"/>
      <c r="AP43" s="84"/>
      <c r="AQ43" s="131"/>
      <c r="AR43" s="152"/>
      <c r="AS43" s="153"/>
      <c r="AT43" s="84"/>
      <c r="AU43" s="153"/>
      <c r="AV43" s="84"/>
      <c r="AW43" s="84"/>
      <c r="AX43" s="155"/>
    </row>
    <row r="44" spans="1:50" s="87" customFormat="1" ht="15" thickBot="1" x14ac:dyDescent="0.35">
      <c r="A44" s="80">
        <f t="shared" si="6"/>
        <v>37</v>
      </c>
      <c r="B44" s="80"/>
      <c r="C44" s="232" t="str">
        <f>IFERROR(VLOOKUP(B44,'Importer Data Fields'!C:D,2,0),"")</f>
        <v/>
      </c>
      <c r="D44" s="70"/>
      <c r="E44" s="71"/>
      <c r="F44" s="72"/>
      <c r="G44" s="71"/>
      <c r="H44" s="71"/>
      <c r="I44" s="73" t="s">
        <v>252</v>
      </c>
      <c r="J44" s="70"/>
      <c r="K44" s="74">
        <f t="shared" si="15"/>
        <v>0</v>
      </c>
      <c r="L44" s="75"/>
      <c r="M44" s="70"/>
      <c r="N44" s="76">
        <f t="shared" si="16"/>
        <v>0</v>
      </c>
      <c r="O44" s="77"/>
      <c r="P44" s="74">
        <f t="shared" si="17"/>
        <v>0</v>
      </c>
      <c r="Q44" s="70"/>
      <c r="R44" s="76"/>
      <c r="S44" s="77"/>
      <c r="T44" s="74">
        <f t="shared" si="13"/>
        <v>0</v>
      </c>
      <c r="U44" s="78"/>
      <c r="V44" s="74">
        <f t="shared" si="19"/>
        <v>0</v>
      </c>
      <c r="W44" s="79">
        <f t="shared" si="20"/>
        <v>0</v>
      </c>
      <c r="X44" s="80"/>
      <c r="Y44" s="83"/>
      <c r="AA44"/>
      <c r="AC44" s="156"/>
      <c r="AD44" s="157"/>
      <c r="AE44" s="157"/>
      <c r="AF44" s="157"/>
      <c r="AG44" s="157"/>
      <c r="AH44" s="157"/>
      <c r="AI44" s="158"/>
      <c r="AJ44" s="157"/>
      <c r="AK44" s="83"/>
      <c r="AL44" s="159"/>
      <c r="AM44" s="157"/>
      <c r="AN44" s="160"/>
      <c r="AO44" s="161"/>
      <c r="AP44" s="83"/>
      <c r="AQ44" s="157"/>
      <c r="AR44" s="160"/>
      <c r="AS44" s="161"/>
      <c r="AT44" s="83"/>
      <c r="AU44" s="161"/>
      <c r="AV44" s="83"/>
      <c r="AW44" s="83"/>
      <c r="AX44" s="156"/>
    </row>
    <row r="45" spans="1:50" ht="15" thickBot="1" x14ac:dyDescent="0.35">
      <c r="A45" s="80">
        <f t="shared" si="6"/>
        <v>38</v>
      </c>
      <c r="B45" s="80"/>
      <c r="C45" s="232" t="str">
        <f>IFERROR(VLOOKUP(B45,'Importer Data Fields'!C:D,2,0),"")</f>
        <v/>
      </c>
      <c r="D45" s="70"/>
      <c r="E45" s="71"/>
      <c r="F45" s="72"/>
      <c r="G45" s="71"/>
      <c r="H45" s="71"/>
      <c r="I45" s="73" t="s">
        <v>108</v>
      </c>
      <c r="J45" s="70"/>
      <c r="K45" s="74">
        <f t="shared" si="15"/>
        <v>0</v>
      </c>
      <c r="L45" s="75"/>
      <c r="M45" s="70"/>
      <c r="N45" s="76">
        <f t="shared" si="16"/>
        <v>0</v>
      </c>
      <c r="O45" s="77"/>
      <c r="P45" s="74">
        <f t="shared" si="17"/>
        <v>0</v>
      </c>
      <c r="Q45" s="70"/>
      <c r="R45" s="76"/>
      <c r="S45" s="77"/>
      <c r="T45" s="74">
        <f t="shared" si="13"/>
        <v>0</v>
      </c>
      <c r="U45" s="78"/>
      <c r="V45" s="74">
        <f t="shared" si="19"/>
        <v>0</v>
      </c>
      <c r="W45" s="79">
        <f t="shared" si="20"/>
        <v>0</v>
      </c>
      <c r="X45" s="80"/>
      <c r="AC45" s="149"/>
      <c r="AD45" s="131"/>
      <c r="AE45" s="131"/>
      <c r="AF45" s="131"/>
      <c r="AG45" s="131"/>
      <c r="AH45" s="131"/>
      <c r="AI45" s="150"/>
      <c r="AJ45" s="131"/>
      <c r="AK45" s="84"/>
      <c r="AL45" s="151"/>
      <c r="AM45" s="131"/>
      <c r="AN45" s="152"/>
      <c r="AO45" s="153"/>
      <c r="AP45" s="84"/>
      <c r="AQ45" s="131"/>
      <c r="AR45" s="152"/>
      <c r="AS45" s="153"/>
      <c r="AT45" s="84"/>
      <c r="AU45" s="153"/>
      <c r="AV45" s="84"/>
      <c r="AW45" s="84"/>
    </row>
    <row r="46" spans="1:50" ht="15" thickBot="1" x14ac:dyDescent="0.35">
      <c r="A46" s="80">
        <f t="shared" si="6"/>
        <v>39</v>
      </c>
      <c r="B46" s="80"/>
      <c r="C46" s="232" t="str">
        <f>IFERROR(VLOOKUP(B46,'Importer Data Fields'!C:D,2,0),"")</f>
        <v/>
      </c>
      <c r="D46" s="70"/>
      <c r="E46" s="71"/>
      <c r="F46" s="72"/>
      <c r="G46" s="71"/>
      <c r="H46" s="71"/>
      <c r="I46" s="73" t="s">
        <v>256</v>
      </c>
      <c r="J46" s="70"/>
      <c r="K46" s="74">
        <f t="shared" si="15"/>
        <v>0</v>
      </c>
      <c r="L46" s="75"/>
      <c r="M46" s="70"/>
      <c r="N46" s="76">
        <f t="shared" si="16"/>
        <v>0</v>
      </c>
      <c r="O46" s="77"/>
      <c r="P46" s="74">
        <f t="shared" si="17"/>
        <v>0</v>
      </c>
      <c r="Q46" s="70"/>
      <c r="R46" s="76"/>
      <c r="S46" s="77"/>
      <c r="T46" s="74">
        <f t="shared" si="13"/>
        <v>0</v>
      </c>
      <c r="U46" s="78"/>
      <c r="V46" s="74">
        <f t="shared" si="19"/>
        <v>0</v>
      </c>
      <c r="W46" s="79">
        <f t="shared" si="20"/>
        <v>0</v>
      </c>
      <c r="X46" s="80"/>
      <c r="AC46" s="154"/>
      <c r="AD46" s="131"/>
      <c r="AE46" s="131"/>
      <c r="AF46" s="131"/>
      <c r="AG46" s="131"/>
      <c r="AH46" s="131"/>
      <c r="AI46" s="150"/>
      <c r="AJ46" s="131"/>
      <c r="AK46" s="84"/>
      <c r="AL46" s="151"/>
      <c r="AM46" s="131"/>
      <c r="AN46" s="152"/>
      <c r="AO46" s="153"/>
      <c r="AP46" s="84"/>
      <c r="AQ46" s="131"/>
      <c r="AR46" s="152"/>
      <c r="AS46" s="153"/>
      <c r="AT46" s="84"/>
      <c r="AU46" s="153"/>
      <c r="AV46" s="84"/>
      <c r="AW46" s="84"/>
    </row>
    <row r="47" spans="1:50" ht="15" thickBot="1" x14ac:dyDescent="0.35">
      <c r="A47" s="80">
        <f t="shared" si="6"/>
        <v>40</v>
      </c>
      <c r="B47" s="80"/>
      <c r="C47" s="232" t="str">
        <f>IFERROR(VLOOKUP(B47,'Importer Data Fields'!C:D,2,0),"")</f>
        <v/>
      </c>
      <c r="D47" s="70"/>
      <c r="E47" s="71"/>
      <c r="F47" s="72"/>
      <c r="G47" s="70"/>
      <c r="H47" s="71"/>
      <c r="I47" s="73" t="s">
        <v>257</v>
      </c>
      <c r="J47" s="70"/>
      <c r="K47" s="74">
        <f t="shared" si="15"/>
        <v>0</v>
      </c>
      <c r="L47" s="75"/>
      <c r="M47" s="70"/>
      <c r="N47" s="76">
        <f t="shared" si="16"/>
        <v>0</v>
      </c>
      <c r="O47" s="77"/>
      <c r="P47" s="74">
        <f t="shared" si="17"/>
        <v>0</v>
      </c>
      <c r="Q47" s="70"/>
      <c r="R47" s="76"/>
      <c r="S47" s="77"/>
      <c r="T47" s="74">
        <f t="shared" si="13"/>
        <v>0</v>
      </c>
      <c r="U47" s="86"/>
      <c r="V47" s="74">
        <f t="shared" si="19"/>
        <v>0</v>
      </c>
      <c r="W47" s="79">
        <f t="shared" si="20"/>
        <v>0</v>
      </c>
      <c r="X47" s="80"/>
      <c r="AC47" s="154"/>
      <c r="AD47" s="131"/>
      <c r="AE47" s="131"/>
      <c r="AF47" s="131"/>
      <c r="AG47" s="131"/>
      <c r="AH47" s="131"/>
      <c r="AI47" s="150"/>
      <c r="AJ47" s="131"/>
      <c r="AK47" s="84"/>
      <c r="AL47" s="151"/>
      <c r="AM47" s="131"/>
      <c r="AN47" s="152"/>
      <c r="AO47" s="153"/>
      <c r="AP47" s="84"/>
      <c r="AQ47" s="131"/>
      <c r="AR47" s="152"/>
      <c r="AS47" s="153"/>
      <c r="AT47" s="84"/>
      <c r="AU47" s="153"/>
      <c r="AV47" s="84"/>
      <c r="AW47" s="84"/>
    </row>
    <row r="48" spans="1:50" ht="15" thickBot="1" x14ac:dyDescent="0.35">
      <c r="A48" s="80">
        <f t="shared" si="6"/>
        <v>41</v>
      </c>
      <c r="B48" s="80"/>
      <c r="C48" s="232" t="str">
        <f>IFERROR(VLOOKUP(B48,'Importer Data Fields'!C:D,2,0),"")</f>
        <v/>
      </c>
      <c r="D48" s="70"/>
      <c r="E48" s="71"/>
      <c r="F48" s="72"/>
      <c r="G48" s="70"/>
      <c r="H48" s="71"/>
      <c r="I48" s="73" t="s">
        <v>252</v>
      </c>
      <c r="J48" s="70"/>
      <c r="K48" s="74">
        <f t="shared" si="15"/>
        <v>0</v>
      </c>
      <c r="L48" s="75"/>
      <c r="M48" s="70"/>
      <c r="N48" s="76">
        <f t="shared" si="16"/>
        <v>0</v>
      </c>
      <c r="O48" s="77"/>
      <c r="P48" s="74">
        <f t="shared" si="17"/>
        <v>0</v>
      </c>
      <c r="Q48" s="70"/>
      <c r="R48" s="76"/>
      <c r="S48" s="77"/>
      <c r="T48" s="74">
        <f t="shared" si="13"/>
        <v>0</v>
      </c>
      <c r="U48" s="78"/>
      <c r="V48" s="74">
        <f t="shared" si="19"/>
        <v>0</v>
      </c>
      <c r="W48" s="79">
        <f t="shared" si="20"/>
        <v>0</v>
      </c>
      <c r="X48" s="80"/>
      <c r="AC48" s="154"/>
      <c r="AD48" s="131"/>
      <c r="AE48" s="131"/>
      <c r="AF48" s="131"/>
      <c r="AG48" s="131"/>
      <c r="AH48" s="131"/>
      <c r="AI48" s="150"/>
      <c r="AJ48" s="131"/>
      <c r="AK48" s="84"/>
      <c r="AL48" s="151"/>
      <c r="AM48" s="131"/>
      <c r="AN48" s="152"/>
      <c r="AO48" s="153"/>
      <c r="AP48" s="84"/>
      <c r="AQ48" s="131"/>
      <c r="AR48" s="152"/>
      <c r="AS48" s="153"/>
      <c r="AT48" s="84"/>
      <c r="AU48" s="153"/>
      <c r="AV48" s="84"/>
      <c r="AW48" s="84"/>
    </row>
    <row r="49" spans="1:50" ht="15" thickBot="1" x14ac:dyDescent="0.35">
      <c r="A49" s="80">
        <f t="shared" si="6"/>
        <v>42</v>
      </c>
      <c r="B49" s="80"/>
      <c r="C49" s="232" t="str">
        <f>IFERROR(VLOOKUP(B49,'Importer Data Fields'!C:D,2,0),"")</f>
        <v/>
      </c>
      <c r="D49" s="70"/>
      <c r="E49" s="71"/>
      <c r="F49" s="72"/>
      <c r="G49" s="71"/>
      <c r="H49" s="71"/>
      <c r="I49" s="73" t="s">
        <v>252</v>
      </c>
      <c r="J49" s="70"/>
      <c r="K49" s="74">
        <f t="shared" si="15"/>
        <v>0</v>
      </c>
      <c r="L49" s="75"/>
      <c r="M49" s="70"/>
      <c r="N49" s="76">
        <f t="shared" si="16"/>
        <v>0</v>
      </c>
      <c r="O49" s="77"/>
      <c r="P49" s="74">
        <f t="shared" si="17"/>
        <v>0</v>
      </c>
      <c r="Q49" s="70"/>
      <c r="R49" s="76"/>
      <c r="S49" s="77"/>
      <c r="T49" s="74">
        <f t="shared" si="13"/>
        <v>0</v>
      </c>
      <c r="U49" s="78"/>
      <c r="V49" s="74">
        <f t="shared" si="19"/>
        <v>0</v>
      </c>
      <c r="W49" s="79">
        <f t="shared" si="14"/>
        <v>0</v>
      </c>
      <c r="X49" s="80"/>
    </row>
    <row r="50" spans="1:50" ht="15" thickBot="1" x14ac:dyDescent="0.35">
      <c r="A50" s="80">
        <f t="shared" si="6"/>
        <v>43</v>
      </c>
      <c r="B50" s="80" t="s">
        <v>258</v>
      </c>
      <c r="C50" s="232" t="str">
        <f>IFERROR(VLOOKUP(B50,'Importer Data Fields'!C:D,2,0),"")</f>
        <v>Foundations</v>
      </c>
      <c r="D50" s="70"/>
      <c r="E50" s="71"/>
      <c r="F50" s="72"/>
      <c r="G50" s="71"/>
      <c r="H50" s="71"/>
      <c r="I50" s="73" t="s">
        <v>256</v>
      </c>
      <c r="J50" s="70"/>
      <c r="K50" s="74">
        <f t="shared" ref="K50" si="21">J50*H50</f>
        <v>0</v>
      </c>
      <c r="L50" s="75"/>
      <c r="M50" s="70"/>
      <c r="N50" s="76">
        <f t="shared" ref="N50" si="22">ROUND(L50*M50*H50,0)</f>
        <v>0</v>
      </c>
      <c r="O50" s="77"/>
      <c r="P50" s="74">
        <f t="shared" ref="P50" si="23">O50*N50</f>
        <v>0</v>
      </c>
      <c r="Q50" s="70"/>
      <c r="R50" s="76"/>
      <c r="S50" s="77"/>
      <c r="T50" s="74">
        <f t="shared" ref="T50" si="24">S50*Q50</f>
        <v>0</v>
      </c>
      <c r="U50" s="78"/>
      <c r="V50" s="74">
        <f t="shared" ref="V50" si="25">H50*U50</f>
        <v>0</v>
      </c>
      <c r="W50" s="79">
        <f t="shared" ref="W50" si="26">V50+T50+P50+K50</f>
        <v>0</v>
      </c>
      <c r="X50" s="80"/>
    </row>
    <row r="51" spans="1:50" ht="15" thickBot="1" x14ac:dyDescent="0.35">
      <c r="A51" s="80">
        <f t="shared" si="6"/>
        <v>44</v>
      </c>
      <c r="B51" s="80" t="s">
        <v>259</v>
      </c>
      <c r="C51" s="232" t="str">
        <f>IFERROR(VLOOKUP(B51,'Importer Data Fields'!C:D,2,0),"")</f>
        <v>Concrete Subbase</v>
      </c>
      <c r="D51" s="70"/>
      <c r="E51" s="71"/>
      <c r="F51" s="72"/>
      <c r="G51" s="70"/>
      <c r="H51" s="71"/>
      <c r="I51" s="73" t="s">
        <v>238</v>
      </c>
      <c r="J51" s="70"/>
      <c r="K51" s="74">
        <f t="shared" si="15"/>
        <v>0</v>
      </c>
      <c r="L51" s="75"/>
      <c r="M51" s="70"/>
      <c r="N51" s="76">
        <f t="shared" si="16"/>
        <v>0</v>
      </c>
      <c r="O51" s="77"/>
      <c r="P51" s="74">
        <f t="shared" si="17"/>
        <v>0</v>
      </c>
      <c r="Q51" s="70"/>
      <c r="R51" s="76"/>
      <c r="S51" s="77"/>
      <c r="T51" s="74">
        <f t="shared" si="13"/>
        <v>0</v>
      </c>
      <c r="U51" s="78"/>
      <c r="V51" s="74">
        <f t="shared" si="19"/>
        <v>0</v>
      </c>
      <c r="W51" s="79">
        <f t="shared" si="14"/>
        <v>0</v>
      </c>
      <c r="X51" s="80"/>
    </row>
    <row r="52" spans="1:50" ht="15" thickBot="1" x14ac:dyDescent="0.35">
      <c r="A52" s="80">
        <f t="shared" si="6"/>
        <v>45</v>
      </c>
      <c r="B52" s="231"/>
      <c r="C52" s="232" t="str">
        <f>IFERROR(VLOOKUP(B52,'Importer Data Fields'!C:D,2,0),"")</f>
        <v/>
      </c>
      <c r="D52" s="70"/>
      <c r="E52" s="71"/>
      <c r="F52" s="72"/>
      <c r="G52" s="70"/>
      <c r="H52" s="71"/>
      <c r="I52" s="73" t="s">
        <v>238</v>
      </c>
      <c r="J52" s="70"/>
      <c r="K52" s="74">
        <f t="shared" ref="K52" si="27">J52*H52</f>
        <v>0</v>
      </c>
      <c r="L52" s="75"/>
      <c r="M52" s="70"/>
      <c r="N52" s="76">
        <f t="shared" ref="N52" si="28">ROUND(L52*M52*H52,0)</f>
        <v>0</v>
      </c>
      <c r="O52" s="77"/>
      <c r="P52" s="74">
        <f t="shared" ref="P52" si="29">O52*N52</f>
        <v>0</v>
      </c>
      <c r="Q52" s="70"/>
      <c r="R52" s="76"/>
      <c r="S52" s="77"/>
      <c r="T52" s="74">
        <f t="shared" ref="T52" si="30">S52*Q52</f>
        <v>0</v>
      </c>
      <c r="U52" s="78"/>
      <c r="V52" s="74">
        <f t="shared" ref="V52" si="31">H52*U52</f>
        <v>0</v>
      </c>
      <c r="W52" s="79">
        <f t="shared" ref="W52" si="32">V52+T52+P52+K52</f>
        <v>0</v>
      </c>
      <c r="X52" s="82"/>
      <c r="Y52" s="83"/>
    </row>
    <row r="53" spans="1:50" ht="15" thickBot="1" x14ac:dyDescent="0.35">
      <c r="A53" s="165">
        <f t="shared" si="6"/>
        <v>46</v>
      </c>
      <c r="B53" s="314" t="s">
        <v>260</v>
      </c>
      <c r="C53" s="315"/>
      <c r="D53" s="167"/>
      <c r="E53" s="168"/>
      <c r="F53" s="169"/>
      <c r="G53" s="167"/>
      <c r="H53" s="168"/>
      <c r="I53" s="170"/>
      <c r="J53" s="167"/>
      <c r="K53" s="171">
        <f t="shared" ref="K53:K106" si="33">J53*H53</f>
        <v>0</v>
      </c>
      <c r="L53" s="172"/>
      <c r="M53" s="167"/>
      <c r="N53" s="173">
        <f t="shared" ref="N53:N61" si="34">ROUND(L53*M53*H53,0)</f>
        <v>0</v>
      </c>
      <c r="O53" s="174"/>
      <c r="P53" s="171">
        <f t="shared" ref="P53:P106" si="35">O53*N53</f>
        <v>0</v>
      </c>
      <c r="Q53" s="167"/>
      <c r="R53" s="173"/>
      <c r="S53" s="174"/>
      <c r="T53" s="171">
        <f t="shared" ref="T53:T106" si="36">S53*Q53</f>
        <v>0</v>
      </c>
      <c r="U53" s="175"/>
      <c r="V53" s="171">
        <f t="shared" ref="V53:V104" si="37">H53*U53</f>
        <v>0</v>
      </c>
      <c r="W53" s="176">
        <f t="shared" ref="W53:W104" si="38">V53+T53+P53+K53</f>
        <v>0</v>
      </c>
      <c r="X53" s="165"/>
      <c r="Y53" s="177">
        <f>SUM(W53:W59)</f>
        <v>0</v>
      </c>
      <c r="AD53" s="131"/>
      <c r="AE53" s="131"/>
      <c r="AF53" s="131"/>
      <c r="AG53" s="131"/>
      <c r="AH53" s="131"/>
      <c r="AI53" s="150"/>
      <c r="AJ53" s="131"/>
      <c r="AK53" s="84"/>
      <c r="AL53" s="151"/>
      <c r="AM53" s="131"/>
      <c r="AN53" s="152"/>
      <c r="AO53" s="153"/>
      <c r="AP53" s="84"/>
      <c r="AQ53" s="131"/>
      <c r="AR53" s="152"/>
      <c r="AS53" s="153"/>
      <c r="AT53" s="84"/>
      <c r="AU53" s="153"/>
      <c r="AV53" s="84"/>
      <c r="AW53" s="84"/>
    </row>
    <row r="54" spans="1:50" ht="15" thickBot="1" x14ac:dyDescent="0.35">
      <c r="A54" s="80">
        <f t="shared" ref="A54:A62" si="39">A53+1</f>
        <v>47</v>
      </c>
      <c r="B54" s="232"/>
      <c r="C54" s="232" t="str">
        <f>IFERROR(VLOOKUP(B54,'Importer Data Fields'!C:D,2,0),"")</f>
        <v/>
      </c>
      <c r="D54" s="70"/>
      <c r="E54" s="71"/>
      <c r="F54" s="72"/>
      <c r="G54" s="70"/>
      <c r="H54" s="71"/>
      <c r="I54" s="73"/>
      <c r="J54" s="70"/>
      <c r="K54" s="74">
        <f t="shared" si="33"/>
        <v>0</v>
      </c>
      <c r="L54" s="75"/>
      <c r="M54" s="70"/>
      <c r="N54" s="76">
        <f t="shared" si="34"/>
        <v>0</v>
      </c>
      <c r="O54" s="77"/>
      <c r="P54" s="74">
        <f t="shared" si="35"/>
        <v>0</v>
      </c>
      <c r="Q54" s="70"/>
      <c r="R54" s="76"/>
      <c r="S54" s="77"/>
      <c r="T54" s="74">
        <f t="shared" si="36"/>
        <v>0</v>
      </c>
      <c r="U54" s="78"/>
      <c r="V54" s="74">
        <f t="shared" si="37"/>
        <v>0</v>
      </c>
      <c r="W54" s="79">
        <f t="shared" si="38"/>
        <v>0</v>
      </c>
      <c r="X54" s="80"/>
      <c r="AC54" s="154"/>
      <c r="AD54" s="131"/>
      <c r="AE54" s="131"/>
      <c r="AF54" s="131"/>
      <c r="AG54" s="131"/>
      <c r="AH54" s="131"/>
      <c r="AI54" s="150"/>
      <c r="AJ54" s="131"/>
      <c r="AK54" s="84"/>
      <c r="AL54" s="151"/>
      <c r="AM54" s="131"/>
      <c r="AN54" s="152"/>
      <c r="AO54" s="153"/>
      <c r="AP54" s="84"/>
      <c r="AQ54" s="131"/>
      <c r="AR54" s="152"/>
      <c r="AS54" s="153"/>
      <c r="AT54" s="84"/>
      <c r="AU54" s="153"/>
      <c r="AV54" s="84"/>
      <c r="AW54" s="84"/>
      <c r="AX54" s="155"/>
    </row>
    <row r="55" spans="1:50" ht="15" thickBot="1" x14ac:dyDescent="0.35">
      <c r="A55" s="80">
        <f t="shared" si="39"/>
        <v>48</v>
      </c>
      <c r="B55" s="80" t="s">
        <v>261</v>
      </c>
      <c r="C55" s="232" t="str">
        <f>IFERROR(VLOOKUP(B55,'Importer Data Fields'!C:D,2,0),"")</f>
        <v>Unit Masonry-Brick</v>
      </c>
      <c r="D55" s="70"/>
      <c r="E55" s="71"/>
      <c r="F55" s="72"/>
      <c r="G55" s="70"/>
      <c r="H55" s="71"/>
      <c r="I55" s="73" t="s">
        <v>252</v>
      </c>
      <c r="J55" s="70"/>
      <c r="K55" s="74">
        <f t="shared" si="33"/>
        <v>0</v>
      </c>
      <c r="L55" s="75"/>
      <c r="M55" s="70"/>
      <c r="N55" s="76">
        <f t="shared" si="34"/>
        <v>0</v>
      </c>
      <c r="O55" s="77"/>
      <c r="P55" s="74">
        <f t="shared" si="35"/>
        <v>0</v>
      </c>
      <c r="Q55" s="70"/>
      <c r="R55" s="76"/>
      <c r="S55" s="77"/>
      <c r="T55" s="74">
        <f t="shared" si="36"/>
        <v>0</v>
      </c>
      <c r="U55" s="78"/>
      <c r="V55" s="74">
        <f t="shared" si="37"/>
        <v>0</v>
      </c>
      <c r="W55" s="79">
        <f t="shared" si="38"/>
        <v>0</v>
      </c>
      <c r="X55" s="80"/>
      <c r="AC55" s="154"/>
      <c r="AD55" s="131"/>
      <c r="AE55" s="131"/>
      <c r="AF55" s="131"/>
      <c r="AG55" s="131"/>
      <c r="AH55" s="131"/>
      <c r="AI55" s="150"/>
      <c r="AJ55" s="131"/>
      <c r="AK55" s="84"/>
      <c r="AL55" s="151"/>
      <c r="AM55" s="131"/>
      <c r="AN55" s="152"/>
      <c r="AO55" s="153"/>
      <c r="AP55" s="84"/>
      <c r="AQ55" s="131"/>
      <c r="AR55" s="152"/>
      <c r="AS55" s="153"/>
      <c r="AT55" s="84"/>
      <c r="AU55" s="153"/>
      <c r="AV55" s="84"/>
      <c r="AW55" s="84"/>
    </row>
    <row r="56" spans="1:50" s="87" customFormat="1" ht="15" thickBot="1" x14ac:dyDescent="0.35">
      <c r="A56" s="80">
        <f t="shared" si="39"/>
        <v>49</v>
      </c>
      <c r="B56" s="80"/>
      <c r="C56" s="232" t="str">
        <f>IFERROR(VLOOKUP(B56,'Importer Data Fields'!C:D,2,0),"")</f>
        <v/>
      </c>
      <c r="D56" s="70"/>
      <c r="E56" s="71"/>
      <c r="F56" s="72"/>
      <c r="G56" s="70"/>
      <c r="H56" s="71"/>
      <c r="I56" s="73" t="s">
        <v>252</v>
      </c>
      <c r="J56" s="70"/>
      <c r="K56" s="74">
        <f t="shared" si="33"/>
        <v>0</v>
      </c>
      <c r="L56" s="75"/>
      <c r="M56" s="70"/>
      <c r="N56" s="76">
        <f t="shared" si="34"/>
        <v>0</v>
      </c>
      <c r="O56" s="77"/>
      <c r="P56" s="74">
        <f t="shared" si="35"/>
        <v>0</v>
      </c>
      <c r="Q56" s="70"/>
      <c r="R56" s="76"/>
      <c r="S56" s="77"/>
      <c r="T56" s="74">
        <f t="shared" si="36"/>
        <v>0</v>
      </c>
      <c r="U56" s="78"/>
      <c r="V56" s="74">
        <f t="shared" si="37"/>
        <v>0</v>
      </c>
      <c r="W56" s="79">
        <f t="shared" si="38"/>
        <v>0</v>
      </c>
      <c r="X56" s="81"/>
      <c r="Y56" s="83"/>
      <c r="AA56"/>
      <c r="AC56" s="156"/>
      <c r="AD56" s="157"/>
      <c r="AE56" s="157"/>
      <c r="AF56" s="157"/>
      <c r="AG56" s="157"/>
      <c r="AH56" s="157"/>
      <c r="AI56" s="158"/>
      <c r="AJ56" s="157"/>
      <c r="AK56" s="83"/>
      <c r="AL56" s="159"/>
      <c r="AM56" s="157"/>
      <c r="AN56" s="160"/>
      <c r="AO56" s="161"/>
      <c r="AP56" s="83"/>
      <c r="AQ56" s="157"/>
      <c r="AR56" s="160"/>
      <c r="AS56" s="161"/>
      <c r="AT56" s="83"/>
      <c r="AU56" s="161"/>
      <c r="AV56" s="83"/>
      <c r="AW56" s="83"/>
      <c r="AX56" s="156"/>
    </row>
    <row r="57" spans="1:50" ht="15" thickBot="1" x14ac:dyDescent="0.35">
      <c r="A57" s="80">
        <f t="shared" si="39"/>
        <v>50</v>
      </c>
      <c r="B57" s="80"/>
      <c r="C57" s="232" t="str">
        <f>IFERROR(VLOOKUP(B57,'Importer Data Fields'!C:D,2,0),"")</f>
        <v/>
      </c>
      <c r="D57" s="70"/>
      <c r="E57" s="71"/>
      <c r="F57" s="72"/>
      <c r="G57" s="70"/>
      <c r="H57" s="71"/>
      <c r="I57" s="73"/>
      <c r="J57" s="70"/>
      <c r="K57" s="74">
        <f t="shared" si="33"/>
        <v>0</v>
      </c>
      <c r="L57" s="75"/>
      <c r="M57" s="70"/>
      <c r="N57" s="76">
        <f t="shared" si="34"/>
        <v>0</v>
      </c>
      <c r="O57" s="77"/>
      <c r="P57" s="74">
        <f t="shared" si="35"/>
        <v>0</v>
      </c>
      <c r="Q57" s="70"/>
      <c r="R57" s="76"/>
      <c r="S57" s="77"/>
      <c r="T57" s="74">
        <f t="shared" si="36"/>
        <v>0</v>
      </c>
      <c r="U57" s="78"/>
      <c r="V57" s="74">
        <f t="shared" si="37"/>
        <v>0</v>
      </c>
      <c r="W57" s="79">
        <f t="shared" si="38"/>
        <v>0</v>
      </c>
      <c r="X57" s="81"/>
      <c r="AC57" s="149"/>
      <c r="AD57" s="131"/>
      <c r="AE57" s="131"/>
      <c r="AF57" s="131"/>
      <c r="AG57" s="131"/>
      <c r="AH57" s="131"/>
      <c r="AI57" s="150"/>
      <c r="AJ57" s="131"/>
      <c r="AK57" s="84"/>
      <c r="AL57" s="151"/>
      <c r="AM57" s="131"/>
      <c r="AN57" s="152"/>
      <c r="AO57" s="153"/>
      <c r="AP57" s="84"/>
      <c r="AQ57" s="131"/>
      <c r="AR57" s="152"/>
      <c r="AS57" s="153"/>
      <c r="AT57" s="84"/>
      <c r="AU57" s="153"/>
      <c r="AV57" s="84"/>
      <c r="AW57" s="84"/>
    </row>
    <row r="58" spans="1:50" ht="15" thickBot="1" x14ac:dyDescent="0.35">
      <c r="A58" s="80">
        <f t="shared" si="39"/>
        <v>51</v>
      </c>
      <c r="B58" s="80"/>
      <c r="C58" s="232" t="str">
        <f>IFERROR(VLOOKUP(B58,'Importer Data Fields'!C:D,2,0),"")</f>
        <v/>
      </c>
      <c r="D58" s="70"/>
      <c r="E58" s="71"/>
      <c r="F58" s="72"/>
      <c r="G58" s="70"/>
      <c r="H58" s="71"/>
      <c r="I58" s="73"/>
      <c r="J58" s="70"/>
      <c r="K58" s="74">
        <f t="shared" si="33"/>
        <v>0</v>
      </c>
      <c r="L58" s="75"/>
      <c r="M58" s="70"/>
      <c r="N58" s="76">
        <f t="shared" si="34"/>
        <v>0</v>
      </c>
      <c r="O58" s="77"/>
      <c r="P58" s="74">
        <f t="shared" si="35"/>
        <v>0</v>
      </c>
      <c r="Q58" s="70"/>
      <c r="R58" s="76"/>
      <c r="S58" s="77"/>
      <c r="T58" s="74">
        <f t="shared" si="36"/>
        <v>0</v>
      </c>
      <c r="U58" s="78"/>
      <c r="V58" s="74">
        <f t="shared" si="37"/>
        <v>0</v>
      </c>
      <c r="W58" s="79">
        <f t="shared" si="38"/>
        <v>0</v>
      </c>
      <c r="X58" s="81"/>
      <c r="AC58" s="154"/>
      <c r="AD58" s="131"/>
      <c r="AE58" s="131"/>
      <c r="AF58" s="131"/>
      <c r="AG58" s="131"/>
      <c r="AH58" s="131"/>
      <c r="AI58" s="150"/>
      <c r="AJ58" s="131"/>
      <c r="AK58" s="84"/>
      <c r="AL58" s="151"/>
      <c r="AM58" s="131"/>
      <c r="AN58" s="152"/>
      <c r="AO58" s="153"/>
      <c r="AP58" s="84"/>
      <c r="AQ58" s="131"/>
      <c r="AR58" s="152"/>
      <c r="AS58" s="153"/>
      <c r="AT58" s="84"/>
      <c r="AU58" s="153"/>
      <c r="AV58" s="84"/>
      <c r="AW58" s="84"/>
    </row>
    <row r="59" spans="1:50" ht="15" thickBot="1" x14ac:dyDescent="0.35">
      <c r="A59" s="80">
        <f t="shared" si="39"/>
        <v>52</v>
      </c>
      <c r="B59" s="231"/>
      <c r="C59" s="232" t="str">
        <f>IFERROR(VLOOKUP(B59,'Importer Data Fields'!C:D,2,0),"")</f>
        <v/>
      </c>
      <c r="D59" s="70"/>
      <c r="E59" s="71"/>
      <c r="F59" s="72"/>
      <c r="G59" s="70"/>
      <c r="H59" s="71"/>
      <c r="I59" s="73"/>
      <c r="J59" s="70"/>
      <c r="K59" s="74">
        <f t="shared" si="33"/>
        <v>0</v>
      </c>
      <c r="L59" s="75"/>
      <c r="M59" s="70"/>
      <c r="N59" s="76">
        <f t="shared" si="34"/>
        <v>0</v>
      </c>
      <c r="O59" s="77"/>
      <c r="P59" s="74">
        <f t="shared" si="35"/>
        <v>0</v>
      </c>
      <c r="Q59" s="70"/>
      <c r="R59" s="76"/>
      <c r="S59" s="77"/>
      <c r="T59" s="74">
        <f t="shared" si="36"/>
        <v>0</v>
      </c>
      <c r="U59" s="78"/>
      <c r="V59" s="74">
        <f t="shared" si="37"/>
        <v>0</v>
      </c>
      <c r="W59" s="79">
        <f t="shared" si="38"/>
        <v>0</v>
      </c>
      <c r="X59" s="80"/>
      <c r="AC59" s="154"/>
      <c r="AD59" s="131"/>
      <c r="AE59" s="131"/>
      <c r="AF59" s="131"/>
      <c r="AG59" s="131"/>
      <c r="AH59" s="131"/>
      <c r="AI59" s="150"/>
      <c r="AJ59" s="131"/>
      <c r="AK59" s="84"/>
      <c r="AL59" s="151"/>
      <c r="AM59" s="131"/>
      <c r="AN59" s="152"/>
      <c r="AO59" s="153"/>
      <c r="AP59" s="84"/>
      <c r="AQ59" s="131"/>
      <c r="AR59" s="152"/>
      <c r="AS59" s="153"/>
      <c r="AT59" s="84"/>
      <c r="AU59" s="153"/>
      <c r="AV59" s="84"/>
      <c r="AW59" s="84"/>
      <c r="AX59" s="155"/>
    </row>
    <row r="60" spans="1:50" ht="15" thickBot="1" x14ac:dyDescent="0.35">
      <c r="A60" s="165">
        <f t="shared" si="39"/>
        <v>53</v>
      </c>
      <c r="B60" s="314" t="s">
        <v>262</v>
      </c>
      <c r="C60" s="315"/>
      <c r="D60" s="167"/>
      <c r="E60" s="168"/>
      <c r="F60" s="169"/>
      <c r="G60" s="167"/>
      <c r="H60" s="168"/>
      <c r="I60" s="170"/>
      <c r="J60" s="167"/>
      <c r="K60" s="171">
        <f t="shared" si="33"/>
        <v>0</v>
      </c>
      <c r="L60" s="172"/>
      <c r="M60" s="167"/>
      <c r="N60" s="173">
        <f t="shared" si="34"/>
        <v>0</v>
      </c>
      <c r="O60" s="174"/>
      <c r="P60" s="171">
        <f t="shared" si="35"/>
        <v>0</v>
      </c>
      <c r="Q60" s="167"/>
      <c r="R60" s="173"/>
      <c r="S60" s="174"/>
      <c r="T60" s="171">
        <f t="shared" si="36"/>
        <v>0</v>
      </c>
      <c r="U60" s="175"/>
      <c r="V60" s="171">
        <f t="shared" si="37"/>
        <v>0</v>
      </c>
      <c r="W60" s="176">
        <f t="shared" si="38"/>
        <v>0</v>
      </c>
      <c r="X60" s="165"/>
      <c r="Y60" s="177">
        <f>SUM(W60:W70)</f>
        <v>0</v>
      </c>
      <c r="AC60" s="154"/>
      <c r="AD60" s="131"/>
      <c r="AE60" s="131"/>
      <c r="AF60" s="131"/>
      <c r="AG60" s="131"/>
      <c r="AH60" s="131"/>
      <c r="AI60" s="150"/>
      <c r="AJ60" s="131"/>
      <c r="AK60" s="84"/>
      <c r="AL60" s="151"/>
      <c r="AM60" s="131"/>
      <c r="AN60" s="152"/>
      <c r="AO60" s="153"/>
      <c r="AP60" s="84"/>
      <c r="AQ60" s="131"/>
      <c r="AR60" s="152"/>
      <c r="AS60" s="153"/>
      <c r="AT60" s="84"/>
      <c r="AU60" s="153"/>
      <c r="AV60" s="84"/>
      <c r="AW60" s="84"/>
      <c r="AX60" s="155"/>
    </row>
    <row r="61" spans="1:50" ht="15" thickBot="1" x14ac:dyDescent="0.35">
      <c r="A61" s="80">
        <f t="shared" si="39"/>
        <v>54</v>
      </c>
      <c r="B61" s="232"/>
      <c r="C61" s="232" t="str">
        <f>IFERROR(VLOOKUP(B61,'Importer Data Fields'!C:D,2,0),"")</f>
        <v/>
      </c>
      <c r="D61" s="70"/>
      <c r="E61" s="71"/>
      <c r="F61" s="72"/>
      <c r="G61" s="70"/>
      <c r="H61" s="71"/>
      <c r="I61" s="73" t="s">
        <v>256</v>
      </c>
      <c r="J61" s="70"/>
      <c r="K61" s="74">
        <f t="shared" si="33"/>
        <v>0</v>
      </c>
      <c r="L61" s="75"/>
      <c r="M61" s="70"/>
      <c r="N61" s="76">
        <f t="shared" si="34"/>
        <v>0</v>
      </c>
      <c r="O61" s="90"/>
      <c r="P61" s="74">
        <f t="shared" si="35"/>
        <v>0</v>
      </c>
      <c r="Q61" s="70"/>
      <c r="R61" s="76"/>
      <c r="S61" s="90"/>
      <c r="T61" s="74">
        <f t="shared" si="36"/>
        <v>0</v>
      </c>
      <c r="U61" s="86"/>
      <c r="V61" s="74">
        <f t="shared" si="37"/>
        <v>0</v>
      </c>
      <c r="W61" s="79">
        <f t="shared" si="38"/>
        <v>0</v>
      </c>
      <c r="X61" s="80"/>
      <c r="AC61" s="154"/>
      <c r="AD61" s="131"/>
      <c r="AE61" s="131"/>
      <c r="AF61" s="131"/>
      <c r="AG61" s="131"/>
      <c r="AH61" s="131"/>
      <c r="AI61" s="150"/>
      <c r="AJ61" s="131"/>
      <c r="AK61" s="84"/>
      <c r="AL61" s="151"/>
      <c r="AM61" s="131"/>
      <c r="AN61" s="152"/>
      <c r="AO61" s="153"/>
      <c r="AP61" s="84"/>
      <c r="AQ61" s="131"/>
      <c r="AR61" s="152"/>
      <c r="AS61" s="153"/>
      <c r="AT61" s="84"/>
      <c r="AU61" s="153"/>
      <c r="AV61" s="84"/>
      <c r="AW61" s="84"/>
      <c r="AX61" s="155"/>
    </row>
    <row r="62" spans="1:50" ht="15" thickBot="1" x14ac:dyDescent="0.35">
      <c r="A62" s="80">
        <f t="shared" si="39"/>
        <v>55</v>
      </c>
      <c r="B62" s="80"/>
      <c r="C62" s="232" t="str">
        <f>IFERROR(VLOOKUP(B62,'Importer Data Fields'!C:D,2,0),"")</f>
        <v/>
      </c>
      <c r="D62" s="70"/>
      <c r="E62" s="71"/>
      <c r="F62" s="72"/>
      <c r="G62" s="70"/>
      <c r="H62" s="71"/>
      <c r="I62" s="73"/>
      <c r="J62" s="70"/>
      <c r="K62" s="74">
        <f t="shared" si="33"/>
        <v>0</v>
      </c>
      <c r="L62" s="75"/>
      <c r="M62" s="70"/>
      <c r="N62" s="76">
        <f t="shared" ref="N62:N110" si="40">ROUND(L62*M62*H62,0)</f>
        <v>0</v>
      </c>
      <c r="O62" s="90"/>
      <c r="P62" s="74">
        <f t="shared" si="35"/>
        <v>0</v>
      </c>
      <c r="Q62" s="70"/>
      <c r="R62" s="76"/>
      <c r="S62" s="90"/>
      <c r="T62" s="74">
        <f t="shared" si="36"/>
        <v>0</v>
      </c>
      <c r="U62" s="86"/>
      <c r="V62" s="74">
        <f t="shared" si="37"/>
        <v>0</v>
      </c>
      <c r="W62" s="79">
        <f t="shared" si="38"/>
        <v>0</v>
      </c>
      <c r="X62" s="80"/>
      <c r="AC62" s="154"/>
      <c r="AD62" s="131"/>
      <c r="AE62" s="131"/>
      <c r="AF62" s="131"/>
      <c r="AG62" s="131"/>
      <c r="AH62" s="131"/>
      <c r="AI62" s="150"/>
      <c r="AJ62" s="131"/>
      <c r="AK62" s="84"/>
      <c r="AL62" s="151"/>
      <c r="AM62" s="131"/>
      <c r="AN62" s="152"/>
      <c r="AO62" s="153"/>
      <c r="AP62" s="84"/>
      <c r="AQ62" s="131"/>
      <c r="AR62" s="152"/>
      <c r="AS62" s="153"/>
      <c r="AT62" s="84"/>
      <c r="AU62" s="153"/>
      <c r="AV62" s="84"/>
      <c r="AW62" s="84"/>
      <c r="AX62" s="155"/>
    </row>
    <row r="63" spans="1:50" ht="15" thickBot="1" x14ac:dyDescent="0.35">
      <c r="A63" s="80">
        <f t="shared" ref="A63:A146" si="41">A62+1</f>
        <v>56</v>
      </c>
      <c r="B63" s="80" t="s">
        <v>263</v>
      </c>
      <c r="C63" s="232" t="str">
        <f>IFERROR(VLOOKUP(B63,'Importer Data Fields'!C:D,2,0),"")</f>
        <v>Structural Steel Framing</v>
      </c>
      <c r="D63" s="70"/>
      <c r="E63" s="71"/>
      <c r="F63" s="72"/>
      <c r="G63" s="70"/>
      <c r="H63" s="71"/>
      <c r="I63" s="73" t="s">
        <v>238</v>
      </c>
      <c r="J63" s="70"/>
      <c r="K63" s="74">
        <f t="shared" si="33"/>
        <v>0</v>
      </c>
      <c r="L63" s="75"/>
      <c r="M63" s="70"/>
      <c r="N63" s="76">
        <f t="shared" si="40"/>
        <v>0</v>
      </c>
      <c r="O63" s="90"/>
      <c r="P63" s="74">
        <f t="shared" si="35"/>
        <v>0</v>
      </c>
      <c r="Q63" s="70"/>
      <c r="R63" s="76"/>
      <c r="S63" s="90"/>
      <c r="T63" s="74">
        <f t="shared" si="36"/>
        <v>0</v>
      </c>
      <c r="U63" s="86"/>
      <c r="V63" s="74">
        <f t="shared" si="37"/>
        <v>0</v>
      </c>
      <c r="W63" s="79">
        <f t="shared" si="38"/>
        <v>0</v>
      </c>
      <c r="X63" s="80"/>
      <c r="AC63" s="154"/>
      <c r="AD63" s="131"/>
      <c r="AE63" s="131"/>
      <c r="AF63" s="131"/>
      <c r="AG63" s="131"/>
      <c r="AH63" s="131"/>
      <c r="AI63" s="150"/>
      <c r="AJ63" s="131"/>
      <c r="AK63" s="84"/>
      <c r="AL63" s="151"/>
      <c r="AM63" s="131"/>
      <c r="AN63" s="152"/>
      <c r="AO63" s="153"/>
      <c r="AP63" s="84"/>
      <c r="AQ63" s="131"/>
      <c r="AR63" s="152"/>
      <c r="AS63" s="153"/>
      <c r="AT63" s="84"/>
      <c r="AU63" s="153"/>
      <c r="AV63" s="84"/>
      <c r="AW63" s="84"/>
      <c r="AX63" s="155"/>
    </row>
    <row r="64" spans="1:50" ht="15" thickBot="1" x14ac:dyDescent="0.35">
      <c r="A64" s="80">
        <f t="shared" si="41"/>
        <v>57</v>
      </c>
      <c r="B64" s="80"/>
      <c r="C64" s="232" t="str">
        <f>IFERROR(VLOOKUP(B64,'Importer Data Fields'!C:D,2,0),"")</f>
        <v/>
      </c>
      <c r="D64" s="70"/>
      <c r="E64" s="71"/>
      <c r="F64" s="72"/>
      <c r="G64" s="70"/>
      <c r="H64" s="71"/>
      <c r="I64" s="73"/>
      <c r="J64" s="70"/>
      <c r="K64" s="74">
        <f t="shared" si="33"/>
        <v>0</v>
      </c>
      <c r="L64" s="75"/>
      <c r="M64" s="70"/>
      <c r="N64" s="76">
        <f t="shared" si="40"/>
        <v>0</v>
      </c>
      <c r="O64" s="90"/>
      <c r="P64" s="74">
        <f t="shared" si="35"/>
        <v>0</v>
      </c>
      <c r="Q64" s="70"/>
      <c r="R64" s="76"/>
      <c r="S64" s="90"/>
      <c r="T64" s="74">
        <f t="shared" si="36"/>
        <v>0</v>
      </c>
      <c r="U64" s="86"/>
      <c r="V64" s="74">
        <f t="shared" si="37"/>
        <v>0</v>
      </c>
      <c r="W64" s="79">
        <f t="shared" si="38"/>
        <v>0</v>
      </c>
      <c r="X64" s="80"/>
      <c r="AC64" s="154"/>
      <c r="AD64" s="131"/>
      <c r="AE64" s="131"/>
      <c r="AF64" s="131"/>
      <c r="AG64" s="131"/>
      <c r="AH64" s="131"/>
      <c r="AI64" s="150"/>
      <c r="AJ64" s="131"/>
      <c r="AK64" s="84"/>
      <c r="AL64" s="151"/>
      <c r="AM64" s="131"/>
      <c r="AN64" s="152"/>
      <c r="AO64" s="153"/>
      <c r="AP64" s="84"/>
      <c r="AQ64" s="131"/>
      <c r="AR64" s="152"/>
      <c r="AS64" s="153"/>
      <c r="AT64" s="84"/>
      <c r="AU64" s="153"/>
      <c r="AV64" s="84"/>
      <c r="AW64" s="84"/>
      <c r="AX64" s="155"/>
    </row>
    <row r="65" spans="1:50" ht="15" thickBot="1" x14ac:dyDescent="0.35">
      <c r="A65" s="80">
        <f t="shared" si="41"/>
        <v>58</v>
      </c>
      <c r="B65" s="80"/>
      <c r="C65" s="232" t="str">
        <f>IFERROR(VLOOKUP(B65,'Importer Data Fields'!C:D,2,0),"")</f>
        <v/>
      </c>
      <c r="D65" s="70"/>
      <c r="E65" s="71"/>
      <c r="F65" s="72"/>
      <c r="G65" s="70"/>
      <c r="H65" s="71"/>
      <c r="I65" s="73"/>
      <c r="J65" s="70"/>
      <c r="K65" s="74">
        <f t="shared" si="33"/>
        <v>0</v>
      </c>
      <c r="L65" s="75"/>
      <c r="M65" s="70"/>
      <c r="N65" s="76">
        <f t="shared" si="40"/>
        <v>0</v>
      </c>
      <c r="O65" s="90"/>
      <c r="P65" s="74">
        <f t="shared" si="35"/>
        <v>0</v>
      </c>
      <c r="Q65" s="70"/>
      <c r="R65" s="76"/>
      <c r="S65" s="90"/>
      <c r="T65" s="74">
        <f t="shared" si="36"/>
        <v>0</v>
      </c>
      <c r="U65" s="86"/>
      <c r="V65" s="74">
        <f t="shared" si="37"/>
        <v>0</v>
      </c>
      <c r="W65" s="79">
        <f t="shared" si="38"/>
        <v>0</v>
      </c>
      <c r="X65" s="80"/>
      <c r="AC65" s="154"/>
      <c r="AD65" s="131"/>
      <c r="AE65" s="131"/>
      <c r="AF65" s="131"/>
      <c r="AG65" s="131"/>
      <c r="AH65" s="131"/>
      <c r="AI65" s="150"/>
      <c r="AJ65" s="131"/>
      <c r="AK65" s="84"/>
      <c r="AL65" s="151"/>
      <c r="AM65" s="131"/>
      <c r="AN65" s="152"/>
      <c r="AO65" s="153"/>
      <c r="AP65" s="84"/>
      <c r="AQ65" s="131"/>
      <c r="AR65" s="152"/>
      <c r="AS65" s="153"/>
      <c r="AT65" s="84"/>
      <c r="AU65" s="153"/>
      <c r="AV65" s="84"/>
      <c r="AW65" s="84"/>
      <c r="AX65" s="155"/>
    </row>
    <row r="66" spans="1:50" ht="15" thickBot="1" x14ac:dyDescent="0.35">
      <c r="A66" s="80">
        <f t="shared" si="41"/>
        <v>59</v>
      </c>
      <c r="B66" s="80"/>
      <c r="C66" s="232" t="str">
        <f>IFERROR(VLOOKUP(B66,'Importer Data Fields'!C:D,2,0),"")</f>
        <v/>
      </c>
      <c r="D66" s="70"/>
      <c r="E66" s="71"/>
      <c r="F66" s="72"/>
      <c r="G66" s="70"/>
      <c r="H66" s="71"/>
      <c r="I66" s="73"/>
      <c r="J66" s="70"/>
      <c r="K66" s="74">
        <f t="shared" si="33"/>
        <v>0</v>
      </c>
      <c r="L66" s="75"/>
      <c r="M66" s="70"/>
      <c r="N66" s="76">
        <f t="shared" si="40"/>
        <v>0</v>
      </c>
      <c r="O66" s="90"/>
      <c r="P66" s="74">
        <f t="shared" si="35"/>
        <v>0</v>
      </c>
      <c r="Q66" s="70"/>
      <c r="R66" s="76"/>
      <c r="S66" s="90"/>
      <c r="T66" s="74">
        <f t="shared" si="36"/>
        <v>0</v>
      </c>
      <c r="U66" s="86"/>
      <c r="V66" s="74">
        <f t="shared" si="37"/>
        <v>0</v>
      </c>
      <c r="W66" s="79">
        <f t="shared" si="38"/>
        <v>0</v>
      </c>
      <c r="X66" s="80"/>
      <c r="AC66" s="154"/>
      <c r="AD66" s="131"/>
      <c r="AE66" s="131"/>
      <c r="AF66" s="131"/>
      <c r="AG66" s="131"/>
      <c r="AH66" s="131"/>
      <c r="AI66" s="150"/>
      <c r="AJ66" s="131"/>
      <c r="AK66" s="84"/>
      <c r="AL66" s="151"/>
      <c r="AM66" s="131"/>
      <c r="AN66" s="152"/>
      <c r="AO66" s="153"/>
      <c r="AP66" s="84"/>
      <c r="AQ66" s="131"/>
      <c r="AR66" s="152"/>
      <c r="AS66" s="153"/>
      <c r="AT66" s="84"/>
      <c r="AU66" s="153"/>
      <c r="AV66" s="84"/>
      <c r="AW66" s="84"/>
    </row>
    <row r="67" spans="1:50" ht="15" thickBot="1" x14ac:dyDescent="0.35">
      <c r="A67" s="80">
        <f t="shared" si="41"/>
        <v>60</v>
      </c>
      <c r="B67" s="80"/>
      <c r="C67" s="232" t="str">
        <f>IFERROR(VLOOKUP(B67,'Importer Data Fields'!C:D,2,0),"")</f>
        <v/>
      </c>
      <c r="D67" s="70"/>
      <c r="E67" s="71"/>
      <c r="F67" s="72"/>
      <c r="G67" s="70"/>
      <c r="H67" s="71"/>
      <c r="I67" s="73"/>
      <c r="J67" s="70"/>
      <c r="K67" s="74">
        <f t="shared" si="33"/>
        <v>0</v>
      </c>
      <c r="L67" s="75"/>
      <c r="M67" s="70"/>
      <c r="N67" s="76">
        <f t="shared" si="40"/>
        <v>0</v>
      </c>
      <c r="O67" s="90"/>
      <c r="P67" s="74">
        <f t="shared" si="35"/>
        <v>0</v>
      </c>
      <c r="Q67" s="70"/>
      <c r="R67" s="76"/>
      <c r="S67" s="90"/>
      <c r="T67" s="74">
        <f t="shared" si="36"/>
        <v>0</v>
      </c>
      <c r="U67" s="86"/>
      <c r="V67" s="74">
        <f t="shared" si="37"/>
        <v>0</v>
      </c>
      <c r="W67" s="79">
        <f t="shared" si="38"/>
        <v>0</v>
      </c>
      <c r="X67" s="80"/>
      <c r="AC67" s="154"/>
      <c r="AD67" s="131"/>
      <c r="AE67" s="131"/>
      <c r="AF67" s="131"/>
      <c r="AG67" s="131"/>
      <c r="AH67" s="131"/>
      <c r="AI67" s="150"/>
      <c r="AJ67" s="131"/>
      <c r="AK67" s="84"/>
      <c r="AL67" s="151"/>
      <c r="AM67" s="131"/>
      <c r="AN67" s="152"/>
      <c r="AO67" s="153"/>
      <c r="AP67" s="84"/>
      <c r="AQ67" s="131"/>
      <c r="AR67" s="152"/>
      <c r="AS67" s="153"/>
      <c r="AT67" s="84"/>
      <c r="AU67" s="153"/>
      <c r="AV67" s="84"/>
      <c r="AW67" s="84"/>
    </row>
    <row r="68" spans="1:50" ht="15" thickBot="1" x14ac:dyDescent="0.35">
      <c r="A68" s="80">
        <f t="shared" si="41"/>
        <v>61</v>
      </c>
      <c r="B68" s="80"/>
      <c r="C68" s="232" t="str">
        <f>IFERROR(VLOOKUP(B68,'Importer Data Fields'!C:D,2,0),"")</f>
        <v/>
      </c>
      <c r="D68" s="70"/>
      <c r="E68" s="71"/>
      <c r="F68" s="72"/>
      <c r="G68" s="70"/>
      <c r="H68" s="71"/>
      <c r="I68" s="73"/>
      <c r="J68" s="70"/>
      <c r="K68" s="74">
        <f t="shared" si="33"/>
        <v>0</v>
      </c>
      <c r="L68" s="75"/>
      <c r="M68" s="70"/>
      <c r="N68" s="76">
        <f t="shared" si="40"/>
        <v>0</v>
      </c>
      <c r="O68" s="90"/>
      <c r="P68" s="74">
        <f t="shared" si="35"/>
        <v>0</v>
      </c>
      <c r="Q68" s="70"/>
      <c r="R68" s="76"/>
      <c r="S68" s="90"/>
      <c r="T68" s="74">
        <f t="shared" si="36"/>
        <v>0</v>
      </c>
      <c r="U68" s="86"/>
      <c r="V68" s="74">
        <f t="shared" si="37"/>
        <v>0</v>
      </c>
      <c r="W68" s="79">
        <f t="shared" si="38"/>
        <v>0</v>
      </c>
      <c r="X68" s="80"/>
      <c r="AC68" s="154"/>
      <c r="AD68" s="131"/>
      <c r="AE68" s="131"/>
      <c r="AF68" s="131"/>
      <c r="AG68" s="131"/>
      <c r="AH68" s="131"/>
      <c r="AI68" s="150"/>
      <c r="AJ68" s="131"/>
      <c r="AK68" s="84"/>
      <c r="AL68" s="151"/>
      <c r="AM68" s="131"/>
      <c r="AN68" s="152"/>
      <c r="AO68" s="153"/>
      <c r="AP68" s="84"/>
      <c r="AQ68" s="131"/>
      <c r="AR68" s="152"/>
      <c r="AS68" s="153"/>
      <c r="AT68" s="84"/>
      <c r="AU68" s="153"/>
      <c r="AV68" s="84"/>
      <c r="AW68" s="84"/>
      <c r="AX68" s="155"/>
    </row>
    <row r="69" spans="1:50" ht="15" thickBot="1" x14ac:dyDescent="0.35">
      <c r="A69" s="80">
        <f t="shared" si="41"/>
        <v>62</v>
      </c>
      <c r="B69" s="80"/>
      <c r="C69" s="232" t="str">
        <f>IFERROR(VLOOKUP(B69,'Importer Data Fields'!C:D,2,0),"")</f>
        <v/>
      </c>
      <c r="D69" s="70"/>
      <c r="E69" s="71"/>
      <c r="F69" s="72"/>
      <c r="G69" s="70"/>
      <c r="H69" s="71"/>
      <c r="I69" s="73"/>
      <c r="J69" s="70"/>
      <c r="K69" s="74">
        <f t="shared" si="33"/>
        <v>0</v>
      </c>
      <c r="L69" s="75"/>
      <c r="M69" s="70"/>
      <c r="N69" s="76">
        <f t="shared" si="40"/>
        <v>0</v>
      </c>
      <c r="O69" s="90"/>
      <c r="P69" s="74">
        <f t="shared" si="35"/>
        <v>0</v>
      </c>
      <c r="Q69" s="70"/>
      <c r="R69" s="76"/>
      <c r="S69" s="90"/>
      <c r="T69" s="74">
        <f t="shared" si="36"/>
        <v>0</v>
      </c>
      <c r="U69" s="86"/>
      <c r="V69" s="74">
        <f t="shared" si="37"/>
        <v>0</v>
      </c>
      <c r="W69" s="79">
        <f t="shared" si="38"/>
        <v>0</v>
      </c>
      <c r="X69" s="80"/>
      <c r="AC69" s="154"/>
      <c r="AD69" s="131"/>
      <c r="AE69" s="131"/>
      <c r="AF69" s="131"/>
      <c r="AG69" s="131"/>
      <c r="AH69" s="131"/>
      <c r="AI69" s="150"/>
      <c r="AJ69" s="131"/>
      <c r="AK69" s="84"/>
      <c r="AL69" s="151"/>
      <c r="AM69" s="131"/>
      <c r="AN69" s="152"/>
      <c r="AO69" s="153"/>
      <c r="AP69" s="84"/>
      <c r="AQ69" s="131"/>
      <c r="AR69" s="152"/>
      <c r="AS69" s="153"/>
      <c r="AT69" s="84"/>
      <c r="AU69" s="153"/>
      <c r="AV69" s="84"/>
      <c r="AW69" s="84"/>
    </row>
    <row r="70" spans="1:50" ht="15" thickBot="1" x14ac:dyDescent="0.35">
      <c r="A70" s="80">
        <f t="shared" si="41"/>
        <v>63</v>
      </c>
      <c r="B70" s="231"/>
      <c r="C70" s="232" t="str">
        <f>IFERROR(VLOOKUP(B70,'Importer Data Fields'!C:D,2,0),"")</f>
        <v/>
      </c>
      <c r="D70" s="70"/>
      <c r="E70" s="71"/>
      <c r="F70" s="72"/>
      <c r="G70" s="70"/>
      <c r="H70" s="71"/>
      <c r="I70" s="73"/>
      <c r="J70" s="70"/>
      <c r="K70" s="74">
        <f t="shared" si="33"/>
        <v>0</v>
      </c>
      <c r="L70" s="75"/>
      <c r="M70" s="70"/>
      <c r="N70" s="76">
        <f t="shared" si="40"/>
        <v>0</v>
      </c>
      <c r="O70" s="90"/>
      <c r="P70" s="74">
        <f t="shared" si="35"/>
        <v>0</v>
      </c>
      <c r="Q70" s="70"/>
      <c r="R70" s="76"/>
      <c r="S70" s="90"/>
      <c r="T70" s="74">
        <f t="shared" si="36"/>
        <v>0</v>
      </c>
      <c r="U70" s="86"/>
      <c r="V70" s="74">
        <f t="shared" si="37"/>
        <v>0</v>
      </c>
      <c r="W70" s="79">
        <f t="shared" si="38"/>
        <v>0</v>
      </c>
      <c r="X70" s="80"/>
      <c r="AC70" s="154"/>
      <c r="AD70" s="131"/>
      <c r="AE70" s="131"/>
      <c r="AF70" s="131"/>
      <c r="AG70" s="131"/>
      <c r="AH70" s="131"/>
      <c r="AI70" s="150"/>
      <c r="AJ70" s="131"/>
      <c r="AK70" s="84"/>
      <c r="AL70" s="151"/>
      <c r="AM70" s="131"/>
      <c r="AN70" s="152"/>
      <c r="AO70" s="153"/>
      <c r="AP70" s="84"/>
      <c r="AQ70" s="131"/>
      <c r="AR70" s="152"/>
      <c r="AS70" s="153"/>
      <c r="AT70" s="84"/>
      <c r="AU70" s="153"/>
      <c r="AV70" s="84"/>
      <c r="AW70" s="84"/>
    </row>
    <row r="71" spans="1:50" ht="15" thickBot="1" x14ac:dyDescent="0.35">
      <c r="A71" s="165">
        <f t="shared" si="41"/>
        <v>64</v>
      </c>
      <c r="B71" s="314" t="s">
        <v>264</v>
      </c>
      <c r="C71" s="315"/>
      <c r="D71" s="167"/>
      <c r="E71" s="168"/>
      <c r="F71" s="169"/>
      <c r="G71" s="167"/>
      <c r="H71" s="168"/>
      <c r="I71" s="170"/>
      <c r="J71" s="167"/>
      <c r="K71" s="171">
        <f t="shared" ref="K71:K75" si="42">J71*H71</f>
        <v>0</v>
      </c>
      <c r="L71" s="172"/>
      <c r="M71" s="167"/>
      <c r="N71" s="173">
        <f t="shared" si="40"/>
        <v>0</v>
      </c>
      <c r="O71" s="174"/>
      <c r="P71" s="171">
        <f t="shared" ref="P71:P75" si="43">O71*N71</f>
        <v>0</v>
      </c>
      <c r="Q71" s="167"/>
      <c r="R71" s="173"/>
      <c r="S71" s="174"/>
      <c r="T71" s="171">
        <f t="shared" ref="T71:T75" si="44">S71*Q71</f>
        <v>0</v>
      </c>
      <c r="U71" s="175"/>
      <c r="V71" s="171">
        <f t="shared" ref="V71:V75" si="45">H71*U71</f>
        <v>0</v>
      </c>
      <c r="W71" s="176">
        <f t="shared" ref="W71:W75" si="46">V71+T71+P71+K71</f>
        <v>0</v>
      </c>
      <c r="X71" s="165"/>
      <c r="Y71" s="177">
        <f>SUM(W71:W86)</f>
        <v>0</v>
      </c>
      <c r="AC71" s="154"/>
      <c r="AD71" s="131"/>
      <c r="AE71" s="131"/>
      <c r="AF71" s="131"/>
      <c r="AG71" s="131"/>
      <c r="AH71" s="131"/>
      <c r="AI71" s="150"/>
      <c r="AJ71" s="131"/>
      <c r="AK71" s="84"/>
      <c r="AL71" s="151"/>
      <c r="AM71" s="131"/>
      <c r="AN71" s="152"/>
      <c r="AO71" s="153"/>
      <c r="AP71" s="84"/>
      <c r="AQ71" s="131"/>
      <c r="AR71" s="152"/>
      <c r="AS71" s="153"/>
      <c r="AT71" s="84"/>
      <c r="AU71" s="153"/>
      <c r="AV71" s="84"/>
      <c r="AW71" s="84"/>
      <c r="AX71" s="155"/>
    </row>
    <row r="72" spans="1:50" ht="15" thickBot="1" x14ac:dyDescent="0.35">
      <c r="A72" s="80">
        <f t="shared" si="41"/>
        <v>65</v>
      </c>
      <c r="B72" s="232" t="s">
        <v>265</v>
      </c>
      <c r="C72" s="232" t="str">
        <f>IFERROR(VLOOKUP(B72,'Importer Data Fields'!C:D,2,0),"")</f>
        <v>Wood Framing</v>
      </c>
      <c r="D72" s="70"/>
      <c r="E72" s="71"/>
      <c r="F72" s="72"/>
      <c r="G72" s="70"/>
      <c r="H72" s="71"/>
      <c r="I72" s="73" t="s">
        <v>238</v>
      </c>
      <c r="J72" s="70"/>
      <c r="K72" s="74">
        <f t="shared" si="42"/>
        <v>0</v>
      </c>
      <c r="L72" s="75"/>
      <c r="M72" s="70"/>
      <c r="N72" s="76">
        <f t="shared" si="40"/>
        <v>0</v>
      </c>
      <c r="O72" s="77"/>
      <c r="P72" s="74">
        <f t="shared" si="43"/>
        <v>0</v>
      </c>
      <c r="Q72" s="70"/>
      <c r="R72" s="76"/>
      <c r="S72" s="77"/>
      <c r="T72" s="74">
        <f t="shared" si="44"/>
        <v>0</v>
      </c>
      <c r="U72" s="78"/>
      <c r="V72" s="74">
        <f t="shared" si="45"/>
        <v>0</v>
      </c>
      <c r="W72" s="79">
        <f t="shared" si="38"/>
        <v>0</v>
      </c>
      <c r="X72" s="80"/>
      <c r="AC72" s="154"/>
      <c r="AD72" s="131"/>
      <c r="AE72" s="131"/>
      <c r="AF72" s="131"/>
      <c r="AG72" s="131"/>
      <c r="AH72" s="131"/>
      <c r="AI72" s="150"/>
      <c r="AJ72" s="131"/>
      <c r="AK72" s="84"/>
      <c r="AL72" s="151"/>
      <c r="AM72" s="131"/>
      <c r="AN72" s="152"/>
      <c r="AO72" s="153"/>
      <c r="AP72" s="84"/>
      <c r="AQ72" s="131"/>
      <c r="AR72" s="152"/>
      <c r="AS72" s="153"/>
      <c r="AT72" s="84"/>
      <c r="AU72" s="153"/>
      <c r="AV72" s="84"/>
      <c r="AW72" s="84"/>
      <c r="AX72" s="155"/>
    </row>
    <row r="73" spans="1:50" ht="15" thickBot="1" x14ac:dyDescent="0.35">
      <c r="A73" s="80">
        <f t="shared" si="41"/>
        <v>66</v>
      </c>
      <c r="B73" s="80" t="s">
        <v>265</v>
      </c>
      <c r="C73" s="232" t="str">
        <f>IFERROR(VLOOKUP(B73,'Importer Data Fields'!C:D,2,0),"")</f>
        <v>Wood Framing</v>
      </c>
      <c r="D73" s="70"/>
      <c r="E73" s="71"/>
      <c r="F73" s="72"/>
      <c r="G73" s="70"/>
      <c r="H73" s="71"/>
      <c r="I73" s="73" t="s">
        <v>238</v>
      </c>
      <c r="J73" s="70"/>
      <c r="K73" s="74">
        <f t="shared" si="42"/>
        <v>0</v>
      </c>
      <c r="L73" s="75"/>
      <c r="M73" s="70"/>
      <c r="N73" s="76">
        <f t="shared" ref="N73:N75" si="47">ROUND(L73*M73*H73,0)</f>
        <v>0</v>
      </c>
      <c r="O73" s="77"/>
      <c r="P73" s="74">
        <f t="shared" si="43"/>
        <v>0</v>
      </c>
      <c r="Q73" s="70"/>
      <c r="R73" s="76"/>
      <c r="S73" s="77"/>
      <c r="T73" s="74">
        <f t="shared" si="44"/>
        <v>0</v>
      </c>
      <c r="U73" s="78"/>
      <c r="V73" s="74">
        <f t="shared" si="45"/>
        <v>0</v>
      </c>
      <c r="W73" s="79">
        <f t="shared" si="38"/>
        <v>0</v>
      </c>
      <c r="X73" s="80"/>
      <c r="AC73" s="154"/>
      <c r="AD73" s="131"/>
      <c r="AE73" s="131"/>
      <c r="AF73" s="131"/>
      <c r="AG73" s="131"/>
      <c r="AH73" s="131"/>
      <c r="AI73" s="150"/>
      <c r="AJ73" s="131"/>
      <c r="AK73" s="84"/>
      <c r="AL73" s="151"/>
      <c r="AM73" s="131"/>
      <c r="AN73" s="152"/>
      <c r="AO73" s="153"/>
      <c r="AP73" s="84"/>
      <c r="AQ73" s="131"/>
      <c r="AR73" s="152"/>
      <c r="AS73" s="153"/>
      <c r="AT73" s="84"/>
      <c r="AU73" s="153"/>
      <c r="AV73" s="84"/>
      <c r="AW73" s="84"/>
      <c r="AX73" s="155"/>
    </row>
    <row r="74" spans="1:50" ht="15" thickBot="1" x14ac:dyDescent="0.35">
      <c r="A74" s="80">
        <f t="shared" si="41"/>
        <v>67</v>
      </c>
      <c r="B74" s="80"/>
      <c r="C74" s="232" t="str">
        <f>IFERROR(VLOOKUP(B74,'Importer Data Fields'!C:D,2,0),"")</f>
        <v/>
      </c>
      <c r="D74" s="70"/>
      <c r="E74" s="71"/>
      <c r="F74" s="72"/>
      <c r="G74" s="70"/>
      <c r="H74" s="71"/>
      <c r="I74" s="73" t="s">
        <v>238</v>
      </c>
      <c r="J74" s="70"/>
      <c r="K74" s="74">
        <f t="shared" si="42"/>
        <v>0</v>
      </c>
      <c r="L74" s="75"/>
      <c r="M74" s="70"/>
      <c r="N74" s="76">
        <f t="shared" si="47"/>
        <v>0</v>
      </c>
      <c r="O74" s="77"/>
      <c r="P74" s="74">
        <f t="shared" si="43"/>
        <v>0</v>
      </c>
      <c r="Q74" s="70"/>
      <c r="R74" s="76"/>
      <c r="S74" s="77"/>
      <c r="T74" s="74">
        <f t="shared" si="44"/>
        <v>0</v>
      </c>
      <c r="U74" s="78"/>
      <c r="V74" s="74">
        <f t="shared" si="45"/>
        <v>0</v>
      </c>
      <c r="W74" s="79">
        <f t="shared" si="38"/>
        <v>0</v>
      </c>
      <c r="X74" s="80"/>
      <c r="AC74" s="154"/>
      <c r="AD74" s="131"/>
      <c r="AE74" s="131"/>
      <c r="AF74" s="131"/>
      <c r="AG74" s="131"/>
      <c r="AH74" s="131"/>
      <c r="AI74" s="150"/>
      <c r="AJ74" s="131"/>
      <c r="AK74" s="84"/>
      <c r="AL74" s="151"/>
      <c r="AM74" s="131"/>
      <c r="AN74" s="152"/>
      <c r="AO74" s="153"/>
      <c r="AP74" s="84"/>
      <c r="AQ74" s="131"/>
      <c r="AR74" s="152"/>
      <c r="AS74" s="153"/>
      <c r="AT74" s="84"/>
      <c r="AU74" s="153"/>
      <c r="AV74" s="84"/>
      <c r="AW74" s="84"/>
      <c r="AX74" s="155"/>
    </row>
    <row r="75" spans="1:50" ht="15" thickBot="1" x14ac:dyDescent="0.35">
      <c r="A75" s="80">
        <f t="shared" si="41"/>
        <v>68</v>
      </c>
      <c r="B75" s="80" t="s">
        <v>265</v>
      </c>
      <c r="C75" s="232" t="str">
        <f>IFERROR(VLOOKUP(B75,'Importer Data Fields'!C:D,2,0),"")</f>
        <v>Wood Framing</v>
      </c>
      <c r="D75" s="70"/>
      <c r="E75" s="71"/>
      <c r="F75" s="72"/>
      <c r="G75" s="70"/>
      <c r="H75" s="71"/>
      <c r="I75" s="73" t="s">
        <v>238</v>
      </c>
      <c r="J75" s="70"/>
      <c r="K75" s="74">
        <f t="shared" si="42"/>
        <v>0</v>
      </c>
      <c r="L75" s="75"/>
      <c r="M75" s="70"/>
      <c r="N75" s="76">
        <f t="shared" si="47"/>
        <v>0</v>
      </c>
      <c r="O75" s="77"/>
      <c r="P75" s="74">
        <f t="shared" si="43"/>
        <v>0</v>
      </c>
      <c r="Q75" s="70"/>
      <c r="R75" s="76"/>
      <c r="S75" s="77"/>
      <c r="T75" s="74">
        <f t="shared" si="44"/>
        <v>0</v>
      </c>
      <c r="U75" s="78"/>
      <c r="V75" s="74">
        <f t="shared" si="45"/>
        <v>0</v>
      </c>
      <c r="W75" s="79">
        <f t="shared" si="46"/>
        <v>0</v>
      </c>
      <c r="X75" s="80"/>
      <c r="AC75" s="154"/>
      <c r="AD75" s="131"/>
      <c r="AE75" s="131"/>
      <c r="AF75" s="131"/>
      <c r="AG75" s="131"/>
      <c r="AH75" s="131"/>
      <c r="AI75" s="150"/>
      <c r="AJ75" s="131"/>
      <c r="AK75" s="84"/>
      <c r="AL75" s="151"/>
      <c r="AM75" s="131"/>
      <c r="AN75" s="152"/>
      <c r="AO75" s="153"/>
      <c r="AP75" s="84"/>
      <c r="AQ75" s="131"/>
      <c r="AR75" s="152"/>
      <c r="AS75" s="153"/>
      <c r="AT75" s="84"/>
      <c r="AU75" s="153"/>
      <c r="AV75" s="84"/>
      <c r="AW75" s="84"/>
      <c r="AX75" s="155"/>
    </row>
    <row r="76" spans="1:50" s="87" customFormat="1" ht="15" thickBot="1" x14ac:dyDescent="0.35">
      <c r="A76" s="80">
        <f t="shared" si="41"/>
        <v>69</v>
      </c>
      <c r="B76" s="80"/>
      <c r="C76" s="232" t="str">
        <f>IFERROR(VLOOKUP(B76,'Importer Data Fields'!C:D,2,0),"")</f>
        <v/>
      </c>
      <c r="D76" s="70"/>
      <c r="E76" s="71"/>
      <c r="F76" s="71"/>
      <c r="G76" s="70"/>
      <c r="H76" s="71"/>
      <c r="I76" s="73" t="s">
        <v>238</v>
      </c>
      <c r="J76" s="70"/>
      <c r="K76" s="74">
        <f t="shared" si="33"/>
        <v>0</v>
      </c>
      <c r="L76" s="75"/>
      <c r="M76" s="70"/>
      <c r="N76" s="76">
        <f t="shared" si="40"/>
        <v>0</v>
      </c>
      <c r="O76" s="77"/>
      <c r="P76" s="74">
        <f t="shared" si="35"/>
        <v>0</v>
      </c>
      <c r="Q76" s="70"/>
      <c r="R76" s="76"/>
      <c r="S76" s="77"/>
      <c r="T76" s="74">
        <f t="shared" si="36"/>
        <v>0</v>
      </c>
      <c r="U76" s="78"/>
      <c r="V76" s="74">
        <f t="shared" si="37"/>
        <v>0</v>
      </c>
      <c r="W76" s="79">
        <f t="shared" si="38"/>
        <v>0</v>
      </c>
      <c r="X76" s="80"/>
      <c r="Y76" s="83"/>
      <c r="AA76"/>
      <c r="AC76" s="156"/>
      <c r="AD76" s="157"/>
      <c r="AE76" s="157"/>
      <c r="AF76" s="157"/>
      <c r="AG76" s="157"/>
      <c r="AH76" s="157"/>
      <c r="AI76" s="158"/>
      <c r="AJ76" s="157"/>
      <c r="AK76" s="83"/>
      <c r="AL76" s="159"/>
      <c r="AM76" s="157"/>
      <c r="AN76" s="160"/>
      <c r="AO76" s="161"/>
      <c r="AP76" s="83"/>
      <c r="AQ76" s="157"/>
      <c r="AR76" s="160"/>
      <c r="AS76" s="161"/>
      <c r="AT76" s="83"/>
      <c r="AU76" s="161"/>
      <c r="AV76" s="83"/>
      <c r="AW76" s="83"/>
      <c r="AX76" s="156"/>
    </row>
    <row r="77" spans="1:50" ht="15" thickBot="1" x14ac:dyDescent="0.35">
      <c r="A77" s="80">
        <f t="shared" si="41"/>
        <v>70</v>
      </c>
      <c r="B77" s="80"/>
      <c r="C77" s="232" t="str">
        <f>IFERROR(VLOOKUP(B77,'Importer Data Fields'!C:D,2,0),"")</f>
        <v/>
      </c>
      <c r="D77" s="70"/>
      <c r="E77" s="71"/>
      <c r="F77" s="72"/>
      <c r="G77" s="70"/>
      <c r="H77" s="71"/>
      <c r="I77" s="73" t="s">
        <v>238</v>
      </c>
      <c r="J77" s="70"/>
      <c r="K77" s="74">
        <f t="shared" si="33"/>
        <v>0</v>
      </c>
      <c r="L77" s="75"/>
      <c r="M77" s="70"/>
      <c r="N77" s="76">
        <f t="shared" si="40"/>
        <v>0</v>
      </c>
      <c r="O77" s="77"/>
      <c r="P77" s="74">
        <f t="shared" si="35"/>
        <v>0</v>
      </c>
      <c r="Q77" s="70"/>
      <c r="R77" s="76"/>
      <c r="S77" s="77"/>
      <c r="T77" s="74">
        <f t="shared" si="36"/>
        <v>0</v>
      </c>
      <c r="U77" s="78"/>
      <c r="V77" s="74">
        <f t="shared" si="37"/>
        <v>0</v>
      </c>
      <c r="W77" s="79">
        <f t="shared" si="38"/>
        <v>0</v>
      </c>
      <c r="X77" s="80"/>
      <c r="AC77" s="149"/>
      <c r="AD77" s="131"/>
      <c r="AE77" s="131"/>
      <c r="AF77" s="131"/>
      <c r="AG77" s="131"/>
      <c r="AH77" s="131"/>
      <c r="AI77" s="150"/>
      <c r="AJ77" s="131"/>
      <c r="AK77" s="84"/>
      <c r="AL77" s="151"/>
      <c r="AM77" s="131"/>
      <c r="AN77" s="152"/>
      <c r="AO77" s="153"/>
      <c r="AP77" s="84"/>
      <c r="AQ77" s="131"/>
      <c r="AR77" s="152"/>
      <c r="AS77" s="153"/>
      <c r="AT77" s="84"/>
      <c r="AU77" s="153"/>
      <c r="AV77" s="84"/>
      <c r="AW77" s="84"/>
    </row>
    <row r="78" spans="1:50" ht="15" thickBot="1" x14ac:dyDescent="0.35">
      <c r="A78" s="80">
        <f t="shared" si="41"/>
        <v>71</v>
      </c>
      <c r="B78" s="80"/>
      <c r="C78" s="232" t="str">
        <f>IFERROR(VLOOKUP(B78,'Importer Data Fields'!C:D,2,0),"")</f>
        <v/>
      </c>
      <c r="D78" s="70"/>
      <c r="E78" s="71"/>
      <c r="F78" s="72"/>
      <c r="G78" s="70"/>
      <c r="H78" s="71"/>
      <c r="I78" s="73" t="s">
        <v>238</v>
      </c>
      <c r="J78" s="70"/>
      <c r="K78" s="74">
        <f t="shared" si="33"/>
        <v>0</v>
      </c>
      <c r="L78" s="75"/>
      <c r="M78" s="70"/>
      <c r="N78" s="76">
        <f t="shared" si="40"/>
        <v>0</v>
      </c>
      <c r="O78" s="77"/>
      <c r="P78" s="74">
        <f t="shared" si="35"/>
        <v>0</v>
      </c>
      <c r="Q78" s="70"/>
      <c r="R78" s="76"/>
      <c r="S78" s="77"/>
      <c r="T78" s="74">
        <f t="shared" si="36"/>
        <v>0</v>
      </c>
      <c r="U78" s="78"/>
      <c r="V78" s="74">
        <f t="shared" si="37"/>
        <v>0</v>
      </c>
      <c r="W78" s="79">
        <f t="shared" si="38"/>
        <v>0</v>
      </c>
      <c r="X78" s="80"/>
      <c r="AC78" s="154"/>
      <c r="AD78" s="131"/>
      <c r="AE78" s="131"/>
      <c r="AF78" s="131"/>
      <c r="AG78" s="131"/>
      <c r="AH78" s="131"/>
      <c r="AI78" s="150"/>
      <c r="AJ78" s="131"/>
      <c r="AK78" s="84"/>
      <c r="AL78" s="151"/>
      <c r="AM78" s="131"/>
      <c r="AN78" s="152"/>
      <c r="AO78" s="153"/>
      <c r="AP78" s="84"/>
      <c r="AQ78" s="131"/>
      <c r="AR78" s="152"/>
      <c r="AS78" s="153"/>
      <c r="AT78" s="84"/>
      <c r="AU78" s="153"/>
      <c r="AV78" s="84"/>
      <c r="AW78" s="84"/>
    </row>
    <row r="79" spans="1:50" ht="15" thickBot="1" x14ac:dyDescent="0.35">
      <c r="A79" s="80">
        <f t="shared" si="41"/>
        <v>72</v>
      </c>
      <c r="B79" s="80"/>
      <c r="C79" s="232" t="str">
        <f>IFERROR(VLOOKUP(B79,'Importer Data Fields'!C:D,2,0),"")</f>
        <v/>
      </c>
      <c r="D79" s="70"/>
      <c r="E79" s="71"/>
      <c r="F79" s="72"/>
      <c r="G79" s="70"/>
      <c r="H79" s="71"/>
      <c r="I79" s="73" t="s">
        <v>238</v>
      </c>
      <c r="J79" s="70"/>
      <c r="K79" s="74">
        <f t="shared" si="33"/>
        <v>0</v>
      </c>
      <c r="L79" s="75"/>
      <c r="M79" s="70"/>
      <c r="N79" s="76">
        <f t="shared" si="40"/>
        <v>0</v>
      </c>
      <c r="O79" s="77"/>
      <c r="P79" s="74">
        <f t="shared" si="35"/>
        <v>0</v>
      </c>
      <c r="Q79" s="70"/>
      <c r="R79" s="76"/>
      <c r="S79" s="77"/>
      <c r="T79" s="74">
        <f t="shared" si="36"/>
        <v>0</v>
      </c>
      <c r="U79" s="78"/>
      <c r="V79" s="74">
        <f t="shared" si="37"/>
        <v>0</v>
      </c>
      <c r="W79" s="79">
        <f t="shared" si="38"/>
        <v>0</v>
      </c>
      <c r="X79" s="80"/>
      <c r="AC79" s="154"/>
      <c r="AD79" s="131"/>
      <c r="AE79" s="131"/>
      <c r="AF79" s="131"/>
      <c r="AG79" s="131"/>
      <c r="AH79" s="131"/>
      <c r="AI79" s="150"/>
      <c r="AJ79" s="131"/>
      <c r="AK79" s="84"/>
      <c r="AL79" s="151"/>
      <c r="AM79" s="131"/>
      <c r="AN79" s="152"/>
      <c r="AO79" s="153"/>
      <c r="AP79" s="84"/>
      <c r="AQ79" s="131"/>
      <c r="AR79" s="152"/>
      <c r="AS79" s="153"/>
      <c r="AT79" s="84"/>
      <c r="AU79" s="153"/>
      <c r="AV79" s="84"/>
      <c r="AW79" s="84"/>
    </row>
    <row r="80" spans="1:50" ht="15" thickBot="1" x14ac:dyDescent="0.35">
      <c r="A80" s="80">
        <f t="shared" si="41"/>
        <v>73</v>
      </c>
      <c r="B80" s="80"/>
      <c r="C80" s="232" t="str">
        <f>IFERROR(VLOOKUP(B80,'Importer Data Fields'!C:D,2,0),"")</f>
        <v/>
      </c>
      <c r="D80" s="70"/>
      <c r="E80" s="71"/>
      <c r="F80" s="72"/>
      <c r="G80" s="70"/>
      <c r="H80" s="71"/>
      <c r="I80" s="73" t="s">
        <v>238</v>
      </c>
      <c r="J80" s="70"/>
      <c r="K80" s="74">
        <f t="shared" ref="K80:K81" si="48">J80*H80</f>
        <v>0</v>
      </c>
      <c r="L80" s="75"/>
      <c r="M80" s="70"/>
      <c r="N80" s="76">
        <f t="shared" ref="N80:N81" si="49">ROUND(L80*M80*H80,0)</f>
        <v>0</v>
      </c>
      <c r="O80" s="77"/>
      <c r="P80" s="74">
        <f t="shared" ref="P80:P81" si="50">O80*N80</f>
        <v>0</v>
      </c>
      <c r="Q80" s="70"/>
      <c r="R80" s="76"/>
      <c r="S80" s="77"/>
      <c r="T80" s="74">
        <f t="shared" ref="T80:T81" si="51">S80*Q80</f>
        <v>0</v>
      </c>
      <c r="U80" s="78"/>
      <c r="V80" s="74">
        <f t="shared" ref="V80:V81" si="52">H80*U80</f>
        <v>0</v>
      </c>
      <c r="W80" s="79">
        <f t="shared" ref="W80:W81" si="53">V80+T80+P80+K80</f>
        <v>0</v>
      </c>
      <c r="X80" s="80"/>
      <c r="AC80" s="154"/>
      <c r="AD80" s="131"/>
      <c r="AE80" s="131"/>
      <c r="AF80" s="131"/>
      <c r="AG80" s="131"/>
      <c r="AH80" s="131"/>
      <c r="AI80" s="150"/>
      <c r="AJ80" s="131"/>
      <c r="AK80" s="84"/>
      <c r="AL80" s="151"/>
      <c r="AM80" s="131"/>
      <c r="AN80" s="152"/>
      <c r="AO80" s="153"/>
      <c r="AP80" s="84"/>
      <c r="AQ80" s="131"/>
      <c r="AR80" s="152"/>
      <c r="AS80" s="153"/>
      <c r="AT80" s="84"/>
      <c r="AU80" s="153"/>
      <c r="AV80" s="84"/>
      <c r="AW80" s="84"/>
    </row>
    <row r="81" spans="1:50" ht="15" thickBot="1" x14ac:dyDescent="0.35">
      <c r="A81" s="80">
        <f t="shared" si="41"/>
        <v>74</v>
      </c>
      <c r="B81" s="80"/>
      <c r="C81" s="232" t="str">
        <f>IFERROR(VLOOKUP(B81,'Importer Data Fields'!C:D,2,0),"")</f>
        <v/>
      </c>
      <c r="D81" s="70"/>
      <c r="E81" s="71"/>
      <c r="F81" s="72"/>
      <c r="G81" s="70"/>
      <c r="H81" s="71"/>
      <c r="I81" s="73"/>
      <c r="J81" s="70"/>
      <c r="K81" s="74">
        <f t="shared" si="48"/>
        <v>0</v>
      </c>
      <c r="L81" s="75"/>
      <c r="M81" s="70"/>
      <c r="N81" s="76">
        <f t="shared" si="49"/>
        <v>0</v>
      </c>
      <c r="O81" s="77"/>
      <c r="P81" s="74">
        <f t="shared" si="50"/>
        <v>0</v>
      </c>
      <c r="Q81" s="70"/>
      <c r="R81" s="76"/>
      <c r="S81" s="77"/>
      <c r="T81" s="74">
        <f t="shared" si="51"/>
        <v>0</v>
      </c>
      <c r="U81" s="78"/>
      <c r="V81" s="74">
        <f t="shared" si="52"/>
        <v>0</v>
      </c>
      <c r="W81" s="79">
        <f t="shared" si="53"/>
        <v>0</v>
      </c>
      <c r="X81" s="80"/>
      <c r="AC81" s="154"/>
      <c r="AD81" s="131"/>
      <c r="AE81" s="131"/>
      <c r="AF81" s="131"/>
      <c r="AG81" s="131"/>
      <c r="AH81" s="131"/>
      <c r="AI81" s="150"/>
      <c r="AJ81" s="131"/>
      <c r="AK81" s="84"/>
      <c r="AL81" s="151"/>
      <c r="AM81" s="131"/>
      <c r="AN81" s="152"/>
      <c r="AO81" s="153"/>
      <c r="AP81" s="84"/>
      <c r="AQ81" s="131"/>
      <c r="AR81" s="152"/>
      <c r="AS81" s="153"/>
      <c r="AT81" s="84"/>
      <c r="AU81" s="153"/>
      <c r="AV81" s="84"/>
      <c r="AW81" s="84"/>
    </row>
    <row r="82" spans="1:50" ht="15" thickBot="1" x14ac:dyDescent="0.35">
      <c r="A82" s="80">
        <f t="shared" si="41"/>
        <v>75</v>
      </c>
      <c r="B82" s="80"/>
      <c r="C82" s="232" t="str">
        <f>IFERROR(VLOOKUP(B82,'Importer Data Fields'!C:D,2,0),"")</f>
        <v/>
      </c>
      <c r="D82" s="70"/>
      <c r="E82" s="71"/>
      <c r="F82" s="72"/>
      <c r="G82" s="70"/>
      <c r="H82" s="71"/>
      <c r="I82" s="73" t="s">
        <v>256</v>
      </c>
      <c r="J82" s="70"/>
      <c r="K82" s="74">
        <f t="shared" ref="K82:K86" si="54">J82*H82</f>
        <v>0</v>
      </c>
      <c r="L82" s="75"/>
      <c r="M82" s="70"/>
      <c r="N82" s="76">
        <f t="shared" ref="N82:N86" si="55">ROUND(L82*M82*H82,0)</f>
        <v>0</v>
      </c>
      <c r="O82" s="77"/>
      <c r="P82" s="74">
        <f t="shared" ref="P82:P86" si="56">O82*N82</f>
        <v>0</v>
      </c>
      <c r="Q82" s="70"/>
      <c r="R82" s="76"/>
      <c r="S82" s="77"/>
      <c r="T82" s="74">
        <f t="shared" ref="T82:T86" si="57">S82*Q82</f>
        <v>0</v>
      </c>
      <c r="U82" s="78"/>
      <c r="V82" s="74">
        <f t="shared" ref="V82:V86" si="58">H82*U82</f>
        <v>0</v>
      </c>
      <c r="W82" s="79">
        <f t="shared" ref="W82:W86" si="59">V82+T82+P82+K82</f>
        <v>0</v>
      </c>
      <c r="X82" s="80"/>
      <c r="AC82" s="154"/>
      <c r="AD82" s="131"/>
      <c r="AE82" s="131"/>
      <c r="AF82" s="131"/>
      <c r="AG82" s="131"/>
      <c r="AH82" s="131"/>
      <c r="AI82" s="150"/>
      <c r="AJ82" s="131"/>
      <c r="AK82" s="84"/>
      <c r="AL82" s="151"/>
      <c r="AM82" s="131"/>
      <c r="AN82" s="152"/>
      <c r="AO82" s="153"/>
      <c r="AP82" s="84"/>
      <c r="AQ82" s="131"/>
      <c r="AR82" s="152"/>
      <c r="AS82" s="153"/>
      <c r="AT82" s="84"/>
      <c r="AU82" s="153"/>
      <c r="AV82" s="84"/>
      <c r="AW82" s="84"/>
    </row>
    <row r="83" spans="1:50" ht="15" thickBot="1" x14ac:dyDescent="0.35">
      <c r="A83" s="80">
        <f t="shared" si="41"/>
        <v>76</v>
      </c>
      <c r="B83" s="80"/>
      <c r="C83" s="232" t="str">
        <f>IFERROR(VLOOKUP(B83,'Importer Data Fields'!C:D,2,0),"")</f>
        <v/>
      </c>
      <c r="D83" s="70"/>
      <c r="E83" s="71"/>
      <c r="F83" s="72"/>
      <c r="G83" s="70"/>
      <c r="H83" s="71"/>
      <c r="I83" s="73" t="s">
        <v>256</v>
      </c>
      <c r="J83" s="70"/>
      <c r="K83" s="74">
        <f t="shared" si="54"/>
        <v>0</v>
      </c>
      <c r="L83" s="75"/>
      <c r="M83" s="70"/>
      <c r="N83" s="76">
        <f t="shared" si="55"/>
        <v>0</v>
      </c>
      <c r="O83" s="77"/>
      <c r="P83" s="74">
        <f t="shared" si="56"/>
        <v>0</v>
      </c>
      <c r="Q83" s="70"/>
      <c r="R83" s="76"/>
      <c r="S83" s="77"/>
      <c r="T83" s="74">
        <f t="shared" si="57"/>
        <v>0</v>
      </c>
      <c r="U83" s="78"/>
      <c r="V83" s="74">
        <f t="shared" si="58"/>
        <v>0</v>
      </c>
      <c r="W83" s="79">
        <f t="shared" si="59"/>
        <v>0</v>
      </c>
      <c r="X83" s="80"/>
      <c r="AC83" s="154"/>
      <c r="AD83" s="131"/>
      <c r="AE83" s="131"/>
      <c r="AF83" s="131"/>
      <c r="AG83" s="131"/>
      <c r="AH83" s="131"/>
      <c r="AI83" s="150"/>
      <c r="AJ83" s="131"/>
      <c r="AK83" s="84"/>
      <c r="AL83" s="151"/>
      <c r="AM83" s="131"/>
      <c r="AN83" s="152"/>
      <c r="AO83" s="153"/>
      <c r="AP83" s="84"/>
      <c r="AQ83" s="131"/>
      <c r="AR83" s="152"/>
      <c r="AS83" s="153"/>
      <c r="AT83" s="84"/>
      <c r="AU83" s="153"/>
      <c r="AV83" s="84"/>
      <c r="AW83" s="84"/>
    </row>
    <row r="84" spans="1:50" ht="15" thickBot="1" x14ac:dyDescent="0.35">
      <c r="A84" s="80">
        <f t="shared" si="41"/>
        <v>77</v>
      </c>
      <c r="B84" s="80"/>
      <c r="C84" s="232" t="str">
        <f>IFERROR(VLOOKUP(B84,'Importer Data Fields'!C:D,2,0),"")</f>
        <v/>
      </c>
      <c r="D84" s="70"/>
      <c r="E84" s="71"/>
      <c r="F84" s="72"/>
      <c r="G84" s="70"/>
      <c r="H84" s="71"/>
      <c r="I84" s="73" t="s">
        <v>256</v>
      </c>
      <c r="J84" s="70"/>
      <c r="K84" s="74">
        <f t="shared" si="54"/>
        <v>0</v>
      </c>
      <c r="L84" s="75"/>
      <c r="M84" s="70"/>
      <c r="N84" s="76">
        <f t="shared" si="55"/>
        <v>0</v>
      </c>
      <c r="O84" s="77"/>
      <c r="P84" s="74">
        <f t="shared" si="56"/>
        <v>0</v>
      </c>
      <c r="Q84" s="70"/>
      <c r="R84" s="76"/>
      <c r="S84" s="77"/>
      <c r="T84" s="74">
        <f t="shared" si="57"/>
        <v>0</v>
      </c>
      <c r="U84" s="78"/>
      <c r="V84" s="74">
        <f t="shared" si="58"/>
        <v>0</v>
      </c>
      <c r="W84" s="79">
        <f t="shared" si="59"/>
        <v>0</v>
      </c>
      <c r="X84" s="80"/>
      <c r="AC84" s="154"/>
      <c r="AD84" s="131"/>
      <c r="AE84" s="131"/>
      <c r="AF84" s="131"/>
      <c r="AG84" s="131"/>
      <c r="AH84" s="131"/>
      <c r="AI84" s="150"/>
      <c r="AJ84" s="131"/>
      <c r="AK84" s="84"/>
      <c r="AL84" s="151"/>
      <c r="AM84" s="131"/>
      <c r="AN84" s="152"/>
      <c r="AO84" s="153"/>
      <c r="AP84" s="84"/>
      <c r="AQ84" s="131"/>
      <c r="AR84" s="152"/>
      <c r="AS84" s="153"/>
      <c r="AT84" s="84"/>
      <c r="AU84" s="153"/>
      <c r="AV84" s="84"/>
      <c r="AW84" s="84"/>
    </row>
    <row r="85" spans="1:50" ht="15" thickBot="1" x14ac:dyDescent="0.35">
      <c r="A85" s="80">
        <f t="shared" si="41"/>
        <v>78</v>
      </c>
      <c r="B85" s="80"/>
      <c r="C85" s="232" t="str">
        <f>IFERROR(VLOOKUP(B85,'Importer Data Fields'!C:D,2,0),"")</f>
        <v/>
      </c>
      <c r="D85" s="70"/>
      <c r="E85" s="71"/>
      <c r="F85" s="72"/>
      <c r="G85" s="70"/>
      <c r="H85" s="71"/>
      <c r="I85" s="73" t="s">
        <v>256</v>
      </c>
      <c r="J85" s="70"/>
      <c r="K85" s="74">
        <f t="shared" si="54"/>
        <v>0</v>
      </c>
      <c r="L85" s="75"/>
      <c r="M85" s="70"/>
      <c r="N85" s="76">
        <f t="shared" si="55"/>
        <v>0</v>
      </c>
      <c r="O85" s="77"/>
      <c r="P85" s="74">
        <f t="shared" si="56"/>
        <v>0</v>
      </c>
      <c r="Q85" s="70"/>
      <c r="R85" s="76"/>
      <c r="S85" s="77"/>
      <c r="T85" s="74">
        <f t="shared" si="57"/>
        <v>0</v>
      </c>
      <c r="U85" s="78"/>
      <c r="V85" s="74">
        <f t="shared" si="58"/>
        <v>0</v>
      </c>
      <c r="W85" s="79">
        <f t="shared" si="59"/>
        <v>0</v>
      </c>
      <c r="X85" s="80"/>
      <c r="AC85" s="154"/>
      <c r="AD85" s="131"/>
      <c r="AE85" s="131"/>
      <c r="AF85" s="131"/>
      <c r="AG85" s="131"/>
      <c r="AH85" s="131"/>
      <c r="AI85" s="150"/>
      <c r="AJ85" s="131"/>
      <c r="AK85" s="84"/>
      <c r="AL85" s="151"/>
      <c r="AM85" s="131"/>
      <c r="AN85" s="152"/>
      <c r="AO85" s="153"/>
      <c r="AP85" s="84"/>
      <c r="AQ85" s="131"/>
      <c r="AR85" s="152"/>
      <c r="AS85" s="153"/>
      <c r="AT85" s="84"/>
      <c r="AU85" s="153"/>
      <c r="AV85" s="84"/>
      <c r="AW85" s="84"/>
    </row>
    <row r="86" spans="1:50" ht="15" thickBot="1" x14ac:dyDescent="0.35">
      <c r="A86" s="80">
        <f t="shared" si="41"/>
        <v>79</v>
      </c>
      <c r="B86" s="231"/>
      <c r="C86" s="232" t="str">
        <f>IFERROR(VLOOKUP(B86,'Importer Data Fields'!C:D,2,0),"")</f>
        <v/>
      </c>
      <c r="D86" s="70"/>
      <c r="E86" s="71"/>
      <c r="F86" s="72"/>
      <c r="G86" s="70"/>
      <c r="H86" s="71"/>
      <c r="I86" s="73"/>
      <c r="J86" s="70"/>
      <c r="K86" s="74">
        <f t="shared" si="54"/>
        <v>0</v>
      </c>
      <c r="L86" s="75"/>
      <c r="M86" s="70"/>
      <c r="N86" s="76">
        <f t="shared" si="55"/>
        <v>0</v>
      </c>
      <c r="O86" s="77"/>
      <c r="P86" s="74">
        <f t="shared" si="56"/>
        <v>0</v>
      </c>
      <c r="Q86" s="70"/>
      <c r="R86" s="76"/>
      <c r="S86" s="77"/>
      <c r="T86" s="74">
        <f t="shared" si="57"/>
        <v>0</v>
      </c>
      <c r="U86" s="78"/>
      <c r="V86" s="74">
        <f t="shared" si="58"/>
        <v>0</v>
      </c>
      <c r="W86" s="79">
        <f t="shared" si="59"/>
        <v>0</v>
      </c>
      <c r="X86" s="80"/>
      <c r="AC86" s="154"/>
      <c r="AD86" s="131"/>
      <c r="AE86" s="131"/>
      <c r="AF86" s="131"/>
      <c r="AG86" s="131"/>
      <c r="AH86" s="131"/>
      <c r="AI86" s="150"/>
      <c r="AJ86" s="131"/>
      <c r="AK86" s="84"/>
      <c r="AL86" s="151"/>
      <c r="AM86" s="131"/>
      <c r="AN86" s="152"/>
      <c r="AO86" s="153"/>
      <c r="AP86" s="84"/>
      <c r="AQ86" s="131"/>
      <c r="AR86" s="152"/>
      <c r="AS86" s="153"/>
      <c r="AT86" s="84"/>
      <c r="AU86" s="153"/>
      <c r="AV86" s="84"/>
      <c r="AW86" s="84"/>
    </row>
    <row r="87" spans="1:50" ht="15" thickBot="1" x14ac:dyDescent="0.35">
      <c r="A87" s="80">
        <f t="shared" si="41"/>
        <v>80</v>
      </c>
      <c r="B87" s="314" t="s">
        <v>266</v>
      </c>
      <c r="C87" s="315"/>
      <c r="D87" s="167"/>
      <c r="E87" s="168"/>
      <c r="F87" s="169"/>
      <c r="G87" s="167"/>
      <c r="H87" s="168"/>
      <c r="I87" s="170"/>
      <c r="J87" s="167"/>
      <c r="K87" s="171">
        <f t="shared" si="33"/>
        <v>0</v>
      </c>
      <c r="L87" s="172"/>
      <c r="M87" s="167"/>
      <c r="N87" s="173">
        <f t="shared" si="40"/>
        <v>0</v>
      </c>
      <c r="O87" s="174"/>
      <c r="P87" s="171">
        <f t="shared" si="35"/>
        <v>0</v>
      </c>
      <c r="Q87" s="167"/>
      <c r="R87" s="173"/>
      <c r="S87" s="174"/>
      <c r="T87" s="171">
        <f t="shared" si="36"/>
        <v>0</v>
      </c>
      <c r="U87" s="175"/>
      <c r="V87" s="171">
        <f t="shared" si="37"/>
        <v>0</v>
      </c>
      <c r="W87" s="176">
        <f t="shared" si="38"/>
        <v>0</v>
      </c>
      <c r="X87" s="165"/>
      <c r="Y87" s="177">
        <f>SUM(W87:W97)</f>
        <v>0</v>
      </c>
      <c r="AC87" s="154"/>
      <c r="AD87" s="131"/>
      <c r="AE87" s="131"/>
      <c r="AF87" s="131"/>
      <c r="AG87" s="131"/>
      <c r="AH87" s="131"/>
      <c r="AI87" s="150"/>
      <c r="AJ87" s="131"/>
      <c r="AK87" s="84"/>
      <c r="AL87" s="151"/>
      <c r="AM87" s="131"/>
      <c r="AN87" s="152"/>
      <c r="AO87" s="153"/>
      <c r="AP87" s="84"/>
      <c r="AQ87" s="131"/>
      <c r="AR87" s="152"/>
      <c r="AS87" s="153"/>
      <c r="AT87" s="84"/>
      <c r="AU87" s="153"/>
      <c r="AV87" s="84"/>
      <c r="AW87" s="84"/>
      <c r="AX87" s="155"/>
    </row>
    <row r="88" spans="1:50" ht="15" thickBot="1" x14ac:dyDescent="0.35">
      <c r="A88" s="80">
        <f t="shared" si="41"/>
        <v>81</v>
      </c>
      <c r="B88" s="232"/>
      <c r="C88" s="232" t="str">
        <f>IFERROR(VLOOKUP(B88,'Importer Data Fields'!C:D,2,0),"")</f>
        <v/>
      </c>
      <c r="D88" s="70"/>
      <c r="E88" s="71"/>
      <c r="F88" s="72"/>
      <c r="G88" s="70"/>
      <c r="H88" s="71"/>
      <c r="I88" s="73" t="s">
        <v>252</v>
      </c>
      <c r="J88" s="70"/>
      <c r="K88" s="74">
        <f t="shared" si="33"/>
        <v>0</v>
      </c>
      <c r="L88" s="75"/>
      <c r="M88" s="70"/>
      <c r="N88" s="76">
        <f t="shared" si="40"/>
        <v>0</v>
      </c>
      <c r="O88" s="77"/>
      <c r="P88" s="74">
        <f t="shared" si="35"/>
        <v>0</v>
      </c>
      <c r="Q88" s="70"/>
      <c r="R88" s="76"/>
      <c r="S88" s="77"/>
      <c r="T88" s="74">
        <f t="shared" si="36"/>
        <v>0</v>
      </c>
      <c r="U88" s="78"/>
      <c r="V88" s="74">
        <f t="shared" si="37"/>
        <v>0</v>
      </c>
      <c r="W88" s="79">
        <f t="shared" si="38"/>
        <v>0</v>
      </c>
      <c r="X88" s="80"/>
      <c r="AC88" s="154"/>
      <c r="AD88" s="131"/>
      <c r="AE88" s="131"/>
      <c r="AF88" s="131"/>
      <c r="AG88" s="131"/>
      <c r="AH88" s="131"/>
      <c r="AI88" s="150"/>
      <c r="AJ88" s="131"/>
      <c r="AK88" s="84"/>
      <c r="AL88" s="151"/>
      <c r="AM88" s="131"/>
      <c r="AN88" s="152"/>
      <c r="AO88" s="153"/>
      <c r="AP88" s="84"/>
      <c r="AQ88" s="131"/>
      <c r="AR88" s="152"/>
      <c r="AS88" s="153"/>
      <c r="AT88" s="84"/>
      <c r="AU88" s="153"/>
      <c r="AV88" s="84"/>
      <c r="AW88" s="84"/>
    </row>
    <row r="89" spans="1:50" ht="15" thickBot="1" x14ac:dyDescent="0.35">
      <c r="A89" s="80">
        <f t="shared" si="41"/>
        <v>82</v>
      </c>
      <c r="B89" s="80"/>
      <c r="C89" s="232" t="str">
        <f>IFERROR(VLOOKUP(B89,'Importer Data Fields'!C:D,2,0),"")</f>
        <v/>
      </c>
      <c r="D89" s="70"/>
      <c r="E89" s="71"/>
      <c r="F89" s="72"/>
      <c r="G89" s="70"/>
      <c r="H89" s="71"/>
      <c r="I89" s="73" t="s">
        <v>108</v>
      </c>
      <c r="J89" s="70"/>
      <c r="K89" s="74">
        <f t="shared" si="33"/>
        <v>0</v>
      </c>
      <c r="L89" s="75"/>
      <c r="M89" s="70"/>
      <c r="N89" s="76">
        <f t="shared" si="40"/>
        <v>0</v>
      </c>
      <c r="O89" s="77"/>
      <c r="P89" s="74">
        <f t="shared" si="35"/>
        <v>0</v>
      </c>
      <c r="Q89" s="70"/>
      <c r="R89" s="76"/>
      <c r="S89" s="77"/>
      <c r="T89" s="74">
        <f t="shared" si="36"/>
        <v>0</v>
      </c>
      <c r="U89" s="78"/>
      <c r="V89" s="74">
        <f t="shared" si="37"/>
        <v>0</v>
      </c>
      <c r="W89" s="79">
        <f t="shared" si="38"/>
        <v>0</v>
      </c>
      <c r="X89" s="80"/>
      <c r="AC89" s="154"/>
      <c r="AD89" s="131"/>
      <c r="AE89" s="131"/>
      <c r="AF89" s="131"/>
      <c r="AG89" s="131"/>
      <c r="AH89" s="131"/>
      <c r="AI89" s="150"/>
      <c r="AJ89" s="131"/>
      <c r="AK89" s="84"/>
      <c r="AL89" s="151"/>
      <c r="AM89" s="131"/>
      <c r="AN89" s="152"/>
      <c r="AO89" s="153"/>
      <c r="AP89" s="84"/>
      <c r="AQ89" s="131"/>
      <c r="AR89" s="152"/>
      <c r="AS89" s="153"/>
      <c r="AT89" s="84"/>
      <c r="AU89" s="153"/>
      <c r="AV89" s="84"/>
      <c r="AW89" s="84"/>
      <c r="AX89" s="155"/>
    </row>
    <row r="90" spans="1:50" ht="15" thickBot="1" x14ac:dyDescent="0.35">
      <c r="A90" s="80">
        <f t="shared" si="41"/>
        <v>83</v>
      </c>
      <c r="B90" s="80"/>
      <c r="C90" s="232" t="str">
        <f>IFERROR(VLOOKUP(B90,'Importer Data Fields'!C:D,2,0),"")</f>
        <v/>
      </c>
      <c r="D90" s="70"/>
      <c r="E90" s="71"/>
      <c r="F90" s="72"/>
      <c r="G90" s="70"/>
      <c r="H90" s="71"/>
      <c r="I90" s="73" t="s">
        <v>256</v>
      </c>
      <c r="J90" s="70"/>
      <c r="K90" s="74">
        <f t="shared" si="33"/>
        <v>0</v>
      </c>
      <c r="L90" s="75"/>
      <c r="M90" s="70"/>
      <c r="N90" s="76">
        <f t="shared" si="40"/>
        <v>0</v>
      </c>
      <c r="O90" s="77"/>
      <c r="P90" s="74">
        <f t="shared" si="35"/>
        <v>0</v>
      </c>
      <c r="Q90" s="70"/>
      <c r="R90" s="76"/>
      <c r="S90" s="77"/>
      <c r="T90" s="74">
        <f t="shared" si="36"/>
        <v>0</v>
      </c>
      <c r="U90" s="78"/>
      <c r="V90" s="74">
        <f t="shared" si="37"/>
        <v>0</v>
      </c>
      <c r="W90" s="79">
        <f t="shared" si="38"/>
        <v>0</v>
      </c>
      <c r="X90" s="80"/>
      <c r="AC90" s="154"/>
      <c r="AD90" s="131"/>
      <c r="AE90" s="131"/>
      <c r="AF90" s="131"/>
      <c r="AG90" s="131"/>
      <c r="AH90" s="131"/>
      <c r="AI90" s="150"/>
      <c r="AJ90" s="131"/>
      <c r="AK90" s="84"/>
      <c r="AL90" s="151"/>
      <c r="AM90" s="131"/>
      <c r="AN90" s="152"/>
      <c r="AO90" s="153"/>
      <c r="AP90" s="84"/>
      <c r="AQ90" s="131"/>
      <c r="AR90" s="152"/>
      <c r="AS90" s="153"/>
      <c r="AT90" s="84"/>
      <c r="AU90" s="153"/>
      <c r="AV90" s="84"/>
      <c r="AW90" s="84"/>
      <c r="AX90" s="155"/>
    </row>
    <row r="91" spans="1:50" ht="15" thickBot="1" x14ac:dyDescent="0.35">
      <c r="A91" s="80">
        <f t="shared" si="41"/>
        <v>84</v>
      </c>
      <c r="B91" s="80"/>
      <c r="C91" s="232" t="str">
        <f>IFERROR(VLOOKUP(B91,'Importer Data Fields'!C:D,2,0),"")</f>
        <v/>
      </c>
      <c r="D91" s="70"/>
      <c r="E91" s="71"/>
      <c r="F91" s="72"/>
      <c r="G91" s="70"/>
      <c r="H91" s="71"/>
      <c r="I91" s="73" t="s">
        <v>238</v>
      </c>
      <c r="J91" s="70"/>
      <c r="K91" s="74">
        <f t="shared" si="33"/>
        <v>0</v>
      </c>
      <c r="L91" s="75"/>
      <c r="M91" s="70"/>
      <c r="N91" s="76">
        <f t="shared" si="40"/>
        <v>0</v>
      </c>
      <c r="O91" s="77"/>
      <c r="P91" s="74">
        <f t="shared" si="35"/>
        <v>0</v>
      </c>
      <c r="Q91" s="70"/>
      <c r="R91" s="76"/>
      <c r="S91" s="77"/>
      <c r="T91" s="74">
        <f t="shared" si="36"/>
        <v>0</v>
      </c>
      <c r="U91" s="86"/>
      <c r="V91" s="74">
        <f t="shared" si="37"/>
        <v>0</v>
      </c>
      <c r="W91" s="79">
        <f t="shared" si="38"/>
        <v>0</v>
      </c>
      <c r="X91" s="80"/>
      <c r="AC91" s="154"/>
      <c r="AD91" s="131"/>
      <c r="AE91" s="131"/>
      <c r="AF91" s="131"/>
      <c r="AG91" s="131"/>
      <c r="AH91" s="131"/>
      <c r="AI91" s="150"/>
      <c r="AJ91" s="131"/>
      <c r="AK91" s="84"/>
      <c r="AL91" s="151"/>
      <c r="AM91" s="131"/>
      <c r="AN91" s="152"/>
      <c r="AO91" s="153"/>
      <c r="AP91" s="84"/>
      <c r="AQ91" s="131"/>
      <c r="AR91" s="152"/>
      <c r="AS91" s="153"/>
      <c r="AT91" s="84"/>
      <c r="AU91" s="153"/>
      <c r="AV91" s="84"/>
      <c r="AW91" s="84"/>
      <c r="AX91" s="155"/>
    </row>
    <row r="92" spans="1:50" ht="15" thickBot="1" x14ac:dyDescent="0.35">
      <c r="A92" s="80">
        <f t="shared" si="41"/>
        <v>85</v>
      </c>
      <c r="B92" s="80"/>
      <c r="C92" s="232" t="str">
        <f>IFERROR(VLOOKUP(B92,'Importer Data Fields'!C:D,2,0),"")</f>
        <v/>
      </c>
      <c r="D92" s="70"/>
      <c r="E92" s="71"/>
      <c r="F92" s="72"/>
      <c r="G92" s="70"/>
      <c r="H92" s="71"/>
      <c r="I92" s="73" t="s">
        <v>238</v>
      </c>
      <c r="J92" s="70"/>
      <c r="K92" s="74">
        <f t="shared" si="33"/>
        <v>0</v>
      </c>
      <c r="L92" s="75"/>
      <c r="M92" s="70"/>
      <c r="N92" s="76">
        <f t="shared" si="40"/>
        <v>0</v>
      </c>
      <c r="O92" s="77"/>
      <c r="P92" s="74">
        <f t="shared" si="35"/>
        <v>0</v>
      </c>
      <c r="Q92" s="70"/>
      <c r="R92" s="76"/>
      <c r="S92" s="77"/>
      <c r="T92" s="74">
        <f t="shared" si="36"/>
        <v>0</v>
      </c>
      <c r="U92" s="78"/>
      <c r="V92" s="74">
        <f t="shared" si="37"/>
        <v>0</v>
      </c>
      <c r="W92" s="79">
        <f t="shared" si="38"/>
        <v>0</v>
      </c>
      <c r="X92" s="80"/>
      <c r="AC92" s="154"/>
      <c r="AD92" s="131"/>
      <c r="AE92" s="131"/>
      <c r="AF92" s="131"/>
      <c r="AG92" s="131"/>
      <c r="AH92" s="131"/>
      <c r="AI92" s="150"/>
      <c r="AJ92" s="131"/>
      <c r="AK92" s="84"/>
      <c r="AL92" s="151"/>
      <c r="AM92" s="131"/>
      <c r="AN92" s="152"/>
      <c r="AO92" s="153"/>
      <c r="AP92" s="84"/>
      <c r="AQ92" s="131"/>
      <c r="AR92" s="152"/>
      <c r="AS92" s="153"/>
      <c r="AT92" s="84"/>
      <c r="AU92" s="153"/>
      <c r="AV92" s="84"/>
      <c r="AW92" s="84"/>
    </row>
    <row r="93" spans="1:50" ht="15" thickBot="1" x14ac:dyDescent="0.35">
      <c r="A93" s="80">
        <f t="shared" si="41"/>
        <v>86</v>
      </c>
      <c r="B93" s="80"/>
      <c r="C93" s="232" t="str">
        <f>IFERROR(VLOOKUP(B93,'Importer Data Fields'!C:D,2,0),"")</f>
        <v/>
      </c>
      <c r="D93" s="70"/>
      <c r="E93" s="71"/>
      <c r="F93" s="72"/>
      <c r="G93" s="70"/>
      <c r="H93" s="71"/>
      <c r="I93" s="73" t="s">
        <v>256</v>
      </c>
      <c r="J93" s="70"/>
      <c r="K93" s="74">
        <f t="shared" ref="K93:K94" si="60">J93*H93</f>
        <v>0</v>
      </c>
      <c r="L93" s="75"/>
      <c r="M93" s="70"/>
      <c r="N93" s="76">
        <f t="shared" ref="N93:N94" si="61">ROUND(L93*M93*H93,0)</f>
        <v>0</v>
      </c>
      <c r="O93" s="77"/>
      <c r="P93" s="74">
        <f t="shared" ref="P93:P94" si="62">O93*N93</f>
        <v>0</v>
      </c>
      <c r="Q93" s="70"/>
      <c r="R93" s="76"/>
      <c r="S93" s="77"/>
      <c r="T93" s="74">
        <f t="shared" ref="T93:T94" si="63">S93*Q93</f>
        <v>0</v>
      </c>
      <c r="U93" s="78"/>
      <c r="V93" s="74">
        <f t="shared" ref="V93:V94" si="64">H93*U93</f>
        <v>0</v>
      </c>
      <c r="W93" s="79">
        <f t="shared" ref="W93:W94" si="65">V93+T93+P93+K93</f>
        <v>0</v>
      </c>
      <c r="X93" s="80"/>
      <c r="AC93" s="154"/>
      <c r="AD93" s="131"/>
      <c r="AE93" s="131"/>
      <c r="AF93" s="131"/>
      <c r="AG93" s="131"/>
      <c r="AH93" s="131"/>
      <c r="AI93" s="150"/>
      <c r="AJ93" s="131"/>
      <c r="AK93" s="84"/>
      <c r="AL93" s="151"/>
      <c r="AM93" s="131"/>
      <c r="AN93" s="152"/>
      <c r="AO93" s="153"/>
      <c r="AP93" s="84"/>
      <c r="AQ93" s="131"/>
      <c r="AR93" s="152"/>
      <c r="AS93" s="153"/>
      <c r="AT93" s="84"/>
      <c r="AU93" s="153"/>
      <c r="AV93" s="84"/>
      <c r="AW93" s="84"/>
    </row>
    <row r="94" spans="1:50" ht="15" thickBot="1" x14ac:dyDescent="0.35">
      <c r="A94" s="80">
        <f t="shared" si="41"/>
        <v>87</v>
      </c>
      <c r="B94" s="80"/>
      <c r="C94" s="232" t="str">
        <f>IFERROR(VLOOKUP(B94,'Importer Data Fields'!C:D,2,0),"")</f>
        <v/>
      </c>
      <c r="D94" s="70"/>
      <c r="E94" s="71"/>
      <c r="F94" s="72"/>
      <c r="G94" s="70"/>
      <c r="H94" s="71"/>
      <c r="I94" s="73" t="s">
        <v>256</v>
      </c>
      <c r="J94" s="70"/>
      <c r="K94" s="74">
        <f t="shared" si="60"/>
        <v>0</v>
      </c>
      <c r="L94" s="75"/>
      <c r="M94" s="70"/>
      <c r="N94" s="76">
        <f t="shared" si="61"/>
        <v>0</v>
      </c>
      <c r="O94" s="77"/>
      <c r="P94" s="74">
        <f t="shared" si="62"/>
        <v>0</v>
      </c>
      <c r="Q94" s="70"/>
      <c r="R94" s="76"/>
      <c r="S94" s="77"/>
      <c r="T94" s="74">
        <f t="shared" si="63"/>
        <v>0</v>
      </c>
      <c r="U94" s="78"/>
      <c r="V94" s="74">
        <f t="shared" si="64"/>
        <v>0</v>
      </c>
      <c r="W94" s="79">
        <f t="shared" si="65"/>
        <v>0</v>
      </c>
      <c r="X94" s="80"/>
      <c r="AC94" s="154"/>
      <c r="AD94" s="131"/>
      <c r="AE94" s="131"/>
      <c r="AF94" s="131"/>
      <c r="AG94" s="131"/>
      <c r="AH94" s="131"/>
      <c r="AI94" s="150"/>
      <c r="AJ94" s="131"/>
      <c r="AK94" s="84"/>
      <c r="AL94" s="151"/>
      <c r="AM94" s="131"/>
      <c r="AN94" s="152"/>
      <c r="AO94" s="153"/>
      <c r="AP94" s="84"/>
      <c r="AQ94" s="131"/>
      <c r="AR94" s="152"/>
      <c r="AS94" s="153"/>
      <c r="AT94" s="84"/>
      <c r="AU94" s="153"/>
      <c r="AV94" s="84"/>
      <c r="AW94" s="84"/>
    </row>
    <row r="95" spans="1:50" ht="15" thickBot="1" x14ac:dyDescent="0.35">
      <c r="A95" s="80">
        <f t="shared" si="41"/>
        <v>88</v>
      </c>
      <c r="B95" s="80"/>
      <c r="C95" s="232" t="str">
        <f>IFERROR(VLOOKUP(B95,'Importer Data Fields'!C:D,2,0),"")</f>
        <v/>
      </c>
      <c r="D95" s="70"/>
      <c r="E95" s="71"/>
      <c r="F95" s="72"/>
      <c r="G95" s="70"/>
      <c r="H95" s="71"/>
      <c r="I95" s="73" t="s">
        <v>238</v>
      </c>
      <c r="J95" s="70"/>
      <c r="K95" s="74">
        <f t="shared" ref="K95" si="66">J95*H95</f>
        <v>0</v>
      </c>
      <c r="L95" s="75"/>
      <c r="M95" s="70"/>
      <c r="N95" s="76">
        <f t="shared" ref="N95" si="67">ROUND(L95*M95*H95,0)</f>
        <v>0</v>
      </c>
      <c r="O95" s="77"/>
      <c r="P95" s="74">
        <f t="shared" ref="P95" si="68">O95*N95</f>
        <v>0</v>
      </c>
      <c r="Q95" s="70"/>
      <c r="R95" s="76"/>
      <c r="S95" s="77"/>
      <c r="T95" s="74">
        <f t="shared" ref="T95" si="69">S95*Q95</f>
        <v>0</v>
      </c>
      <c r="U95" s="78"/>
      <c r="V95" s="74">
        <f t="shared" ref="V95" si="70">H95*U95</f>
        <v>0</v>
      </c>
      <c r="W95" s="79">
        <f t="shared" ref="W95" si="71">V95+T95+P95+K95</f>
        <v>0</v>
      </c>
      <c r="X95" s="80"/>
      <c r="AC95" s="154"/>
      <c r="AD95" s="131"/>
      <c r="AE95" s="131"/>
      <c r="AF95" s="131"/>
      <c r="AG95" s="131"/>
      <c r="AH95" s="131"/>
      <c r="AI95" s="150"/>
      <c r="AJ95" s="131"/>
      <c r="AK95" s="84"/>
      <c r="AL95" s="151"/>
      <c r="AM95" s="131"/>
      <c r="AN95" s="152"/>
      <c r="AO95" s="153"/>
      <c r="AP95" s="84"/>
      <c r="AQ95" s="131"/>
      <c r="AR95" s="152"/>
      <c r="AS95" s="153"/>
      <c r="AT95" s="84"/>
      <c r="AU95" s="153"/>
      <c r="AV95" s="84"/>
      <c r="AW95" s="84"/>
    </row>
    <row r="96" spans="1:50" ht="15" thickBot="1" x14ac:dyDescent="0.35">
      <c r="A96" s="80">
        <f t="shared" si="41"/>
        <v>89</v>
      </c>
      <c r="B96" s="80"/>
      <c r="C96" s="232" t="str">
        <f>IFERROR(VLOOKUP(B96,'Importer Data Fields'!C:D,2,0),"")</f>
        <v/>
      </c>
      <c r="D96" s="70"/>
      <c r="E96" s="71"/>
      <c r="F96" s="72"/>
      <c r="G96" s="70"/>
      <c r="H96" s="71"/>
      <c r="I96" s="73" t="s">
        <v>238</v>
      </c>
      <c r="J96" s="70"/>
      <c r="K96" s="74">
        <f t="shared" si="33"/>
        <v>0</v>
      </c>
      <c r="L96" s="75"/>
      <c r="M96" s="70"/>
      <c r="N96" s="76">
        <f t="shared" si="40"/>
        <v>0</v>
      </c>
      <c r="O96" s="77"/>
      <c r="P96" s="74">
        <f t="shared" si="35"/>
        <v>0</v>
      </c>
      <c r="Q96" s="70"/>
      <c r="R96" s="76"/>
      <c r="S96" s="77"/>
      <c r="T96" s="74">
        <f t="shared" si="36"/>
        <v>0</v>
      </c>
      <c r="U96" s="78"/>
      <c r="V96" s="74">
        <f t="shared" si="37"/>
        <v>0</v>
      </c>
      <c r="W96" s="79">
        <f t="shared" si="38"/>
        <v>0</v>
      </c>
      <c r="X96" s="80"/>
      <c r="AC96" s="154"/>
      <c r="AD96" s="131"/>
      <c r="AE96" s="131"/>
      <c r="AF96" s="131"/>
      <c r="AG96" s="131"/>
      <c r="AH96" s="131"/>
      <c r="AI96" s="150"/>
      <c r="AJ96" s="131"/>
      <c r="AK96" s="84"/>
      <c r="AL96" s="151"/>
      <c r="AM96" s="131"/>
      <c r="AN96" s="152"/>
      <c r="AO96" s="153"/>
      <c r="AP96" s="84"/>
      <c r="AQ96" s="131"/>
      <c r="AR96" s="152"/>
      <c r="AS96" s="153"/>
      <c r="AT96" s="84"/>
      <c r="AU96" s="153"/>
      <c r="AV96" s="84"/>
      <c r="AW96" s="84"/>
      <c r="AX96" s="155"/>
    </row>
    <row r="97" spans="1:50" ht="15" thickBot="1" x14ac:dyDescent="0.35">
      <c r="A97" s="80">
        <f t="shared" si="41"/>
        <v>90</v>
      </c>
      <c r="B97" s="231"/>
      <c r="C97" s="232" t="str">
        <f>IFERROR(VLOOKUP(B97,'Importer Data Fields'!C:D,2,0),"")</f>
        <v/>
      </c>
      <c r="D97" s="70"/>
      <c r="E97" s="71"/>
      <c r="F97" s="72"/>
      <c r="G97" s="70"/>
      <c r="H97" s="71"/>
      <c r="I97" s="73" t="s">
        <v>238</v>
      </c>
      <c r="J97" s="70"/>
      <c r="K97" s="74">
        <f t="shared" ref="K97" si="72">J97*H97</f>
        <v>0</v>
      </c>
      <c r="L97" s="75"/>
      <c r="M97" s="70"/>
      <c r="N97" s="76">
        <f t="shared" ref="N97" si="73">ROUND(L97*M97*H97,0)</f>
        <v>0</v>
      </c>
      <c r="O97" s="77"/>
      <c r="P97" s="74">
        <f t="shared" ref="P97" si="74">O97*N97</f>
        <v>0</v>
      </c>
      <c r="Q97" s="70"/>
      <c r="R97" s="76"/>
      <c r="S97" s="77"/>
      <c r="T97" s="74">
        <f t="shared" ref="T97" si="75">S97*Q97</f>
        <v>0</v>
      </c>
      <c r="U97" s="78"/>
      <c r="V97" s="74">
        <f t="shared" ref="V97" si="76">H97*U97</f>
        <v>0</v>
      </c>
      <c r="W97" s="79">
        <f t="shared" ref="W97" si="77">V97+T97+P97+K97</f>
        <v>0</v>
      </c>
      <c r="X97" s="80"/>
      <c r="AC97" s="154"/>
      <c r="AD97" s="131"/>
      <c r="AE97" s="131"/>
      <c r="AF97" s="131"/>
      <c r="AG97" s="131"/>
      <c r="AH97" s="131"/>
      <c r="AI97" s="150"/>
      <c r="AJ97" s="131"/>
      <c r="AK97" s="84"/>
      <c r="AL97" s="151"/>
      <c r="AM97" s="131"/>
      <c r="AN97" s="152"/>
      <c r="AO97" s="153"/>
      <c r="AP97" s="84"/>
      <c r="AQ97" s="131"/>
      <c r="AR97" s="152"/>
      <c r="AS97" s="153"/>
      <c r="AT97" s="84"/>
      <c r="AU97" s="153"/>
      <c r="AV97" s="84"/>
      <c r="AW97" s="84"/>
      <c r="AX97" s="155"/>
    </row>
    <row r="98" spans="1:50" ht="15" thickBot="1" x14ac:dyDescent="0.35">
      <c r="A98" s="165">
        <f t="shared" si="41"/>
        <v>91</v>
      </c>
      <c r="B98" s="314" t="s">
        <v>267</v>
      </c>
      <c r="C98" s="315"/>
      <c r="D98" s="167"/>
      <c r="E98" s="168"/>
      <c r="F98" s="169"/>
      <c r="G98" s="167"/>
      <c r="H98" s="168"/>
      <c r="I98" s="170"/>
      <c r="J98" s="167"/>
      <c r="K98" s="171">
        <f t="shared" si="33"/>
        <v>0</v>
      </c>
      <c r="L98" s="172"/>
      <c r="M98" s="167"/>
      <c r="N98" s="173">
        <f t="shared" si="40"/>
        <v>0</v>
      </c>
      <c r="O98" s="174"/>
      <c r="P98" s="171">
        <f t="shared" si="35"/>
        <v>0</v>
      </c>
      <c r="Q98" s="167"/>
      <c r="R98" s="173"/>
      <c r="S98" s="174"/>
      <c r="T98" s="171">
        <f t="shared" si="36"/>
        <v>0</v>
      </c>
      <c r="U98" s="175"/>
      <c r="V98" s="171">
        <f t="shared" si="37"/>
        <v>0</v>
      </c>
      <c r="W98" s="176">
        <f t="shared" si="38"/>
        <v>0</v>
      </c>
      <c r="X98" s="165"/>
      <c r="Y98" s="177">
        <f>SUM(W98:W112)</f>
        <v>0</v>
      </c>
      <c r="AC98" s="154"/>
      <c r="AD98" s="131"/>
      <c r="AE98" s="131"/>
      <c r="AF98" s="131"/>
      <c r="AG98" s="131"/>
      <c r="AH98" s="131"/>
      <c r="AI98" s="150"/>
      <c r="AJ98" s="131"/>
      <c r="AK98" s="84"/>
      <c r="AL98" s="151"/>
      <c r="AM98" s="131"/>
      <c r="AN98" s="152"/>
      <c r="AO98" s="153"/>
      <c r="AP98" s="84"/>
      <c r="AQ98" s="131"/>
      <c r="AR98" s="152"/>
      <c r="AS98" s="153"/>
      <c r="AT98" s="84"/>
      <c r="AU98" s="153"/>
      <c r="AV98" s="84"/>
      <c r="AW98" s="84"/>
    </row>
    <row r="99" spans="1:50" ht="15" thickBot="1" x14ac:dyDescent="0.35">
      <c r="A99" s="80">
        <f t="shared" si="41"/>
        <v>92</v>
      </c>
      <c r="B99" s="232" t="s">
        <v>268</v>
      </c>
      <c r="C99" s="232" t="str">
        <f>IFERROR(VLOOKUP(B99,'Importer Data Fields'!C:D,2,0),"")</f>
        <v>Composite Windows</v>
      </c>
      <c r="D99" s="70"/>
      <c r="E99" s="71"/>
      <c r="F99" s="72"/>
      <c r="G99" s="70"/>
      <c r="H99" s="71"/>
      <c r="I99" s="73" t="s">
        <v>238</v>
      </c>
      <c r="J99" s="70"/>
      <c r="K99" s="74">
        <f t="shared" si="33"/>
        <v>0</v>
      </c>
      <c r="L99" s="75"/>
      <c r="M99" s="70"/>
      <c r="N99" s="76">
        <f t="shared" si="40"/>
        <v>0</v>
      </c>
      <c r="O99" s="90"/>
      <c r="P99" s="74">
        <f t="shared" si="35"/>
        <v>0</v>
      </c>
      <c r="Q99" s="70"/>
      <c r="R99" s="76"/>
      <c r="S99" s="90"/>
      <c r="T99" s="74">
        <f t="shared" si="36"/>
        <v>0</v>
      </c>
      <c r="U99" s="86"/>
      <c r="V99" s="74">
        <f t="shared" si="37"/>
        <v>0</v>
      </c>
      <c r="W99" s="79">
        <f t="shared" si="38"/>
        <v>0</v>
      </c>
      <c r="X99" s="80"/>
      <c r="AC99" s="154"/>
      <c r="AD99" s="131"/>
      <c r="AE99" s="131"/>
      <c r="AF99" s="131"/>
      <c r="AG99" s="131"/>
      <c r="AH99" s="131"/>
      <c r="AI99" s="150"/>
      <c r="AJ99" s="131"/>
      <c r="AK99" s="84"/>
      <c r="AL99" s="151"/>
      <c r="AM99" s="131"/>
      <c r="AN99" s="152"/>
      <c r="AO99" s="153"/>
      <c r="AP99" s="84"/>
      <c r="AQ99" s="131"/>
      <c r="AR99" s="152"/>
      <c r="AS99" s="153"/>
      <c r="AT99" s="84"/>
      <c r="AU99" s="153"/>
      <c r="AV99" s="84"/>
      <c r="AW99" s="84"/>
    </row>
    <row r="100" spans="1:50" ht="15" thickBot="1" x14ac:dyDescent="0.35">
      <c r="A100" s="80">
        <f t="shared" si="41"/>
        <v>93</v>
      </c>
      <c r="B100" s="80" t="s">
        <v>269</v>
      </c>
      <c r="C100" s="232" t="str">
        <f>IFERROR(VLOOKUP(B100,'Importer Data Fields'!C:D,2,0),"")</f>
        <v>Access Doors and Panels</v>
      </c>
      <c r="D100" s="70"/>
      <c r="E100" s="71"/>
      <c r="F100" s="72"/>
      <c r="G100" s="70"/>
      <c r="H100" s="71"/>
      <c r="I100" s="73" t="s">
        <v>256</v>
      </c>
      <c r="J100" s="70"/>
      <c r="K100" s="74">
        <f t="shared" si="33"/>
        <v>0</v>
      </c>
      <c r="L100" s="75"/>
      <c r="M100" s="70"/>
      <c r="N100" s="76">
        <f t="shared" si="40"/>
        <v>0</v>
      </c>
      <c r="O100" s="90"/>
      <c r="P100" s="74">
        <f t="shared" si="35"/>
        <v>0</v>
      </c>
      <c r="Q100" s="70"/>
      <c r="R100" s="76"/>
      <c r="S100" s="90"/>
      <c r="T100" s="74">
        <f t="shared" si="36"/>
        <v>0</v>
      </c>
      <c r="U100" s="86"/>
      <c r="V100" s="74">
        <f t="shared" si="37"/>
        <v>0</v>
      </c>
      <c r="W100" s="79">
        <f t="shared" si="38"/>
        <v>0</v>
      </c>
      <c r="X100" s="80"/>
      <c r="AC100" s="154"/>
      <c r="AD100" s="131"/>
      <c r="AE100" s="131"/>
      <c r="AF100" s="131"/>
      <c r="AG100" s="131"/>
      <c r="AH100" s="131"/>
      <c r="AI100" s="150"/>
      <c r="AJ100" s="131"/>
      <c r="AK100" s="84"/>
      <c r="AL100" s="151"/>
      <c r="AM100" s="131"/>
      <c r="AN100" s="152"/>
      <c r="AO100" s="153"/>
      <c r="AP100" s="84"/>
      <c r="AQ100" s="131"/>
      <c r="AR100" s="152"/>
      <c r="AS100" s="153"/>
      <c r="AT100" s="84"/>
      <c r="AU100" s="153"/>
      <c r="AV100" s="84"/>
      <c r="AW100" s="84"/>
      <c r="AX100" s="155"/>
    </row>
    <row r="101" spans="1:50" s="87" customFormat="1" ht="15" thickBot="1" x14ac:dyDescent="0.35">
      <c r="A101" s="80">
        <f t="shared" si="41"/>
        <v>94</v>
      </c>
      <c r="B101" s="80" t="s">
        <v>270</v>
      </c>
      <c r="C101" s="232" t="str">
        <f>IFERROR(VLOOKUP(B101,'Importer Data Fields'!C:D,2,0),"")</f>
        <v>Door Hardware</v>
      </c>
      <c r="D101" s="70"/>
      <c r="E101" s="71"/>
      <c r="F101" s="72"/>
      <c r="G101" s="70"/>
      <c r="H101" s="71"/>
      <c r="I101" s="73" t="s">
        <v>256</v>
      </c>
      <c r="J101" s="70"/>
      <c r="K101" s="74">
        <f t="shared" si="33"/>
        <v>0</v>
      </c>
      <c r="L101" s="75"/>
      <c r="M101" s="70"/>
      <c r="N101" s="76">
        <f t="shared" si="40"/>
        <v>0</v>
      </c>
      <c r="O101" s="90"/>
      <c r="P101" s="74">
        <f t="shared" si="35"/>
        <v>0</v>
      </c>
      <c r="Q101" s="70"/>
      <c r="R101" s="76"/>
      <c r="S101" s="90"/>
      <c r="T101" s="74">
        <f t="shared" si="36"/>
        <v>0</v>
      </c>
      <c r="U101" s="86"/>
      <c r="V101" s="74">
        <f t="shared" si="37"/>
        <v>0</v>
      </c>
      <c r="W101" s="79">
        <f t="shared" si="38"/>
        <v>0</v>
      </c>
      <c r="X101" s="81"/>
      <c r="Y101" s="83"/>
      <c r="AA101"/>
      <c r="AC101" s="156"/>
      <c r="AD101" s="157"/>
      <c r="AE101" s="157"/>
      <c r="AF101" s="157"/>
      <c r="AG101" s="157"/>
      <c r="AH101" s="157"/>
      <c r="AI101" s="158"/>
      <c r="AJ101" s="157"/>
      <c r="AK101" s="83"/>
      <c r="AL101" s="159"/>
      <c r="AM101" s="157"/>
      <c r="AN101" s="160"/>
      <c r="AO101" s="161"/>
      <c r="AP101" s="83"/>
      <c r="AQ101" s="157"/>
      <c r="AR101" s="160"/>
      <c r="AS101" s="161"/>
      <c r="AT101" s="83"/>
      <c r="AU101" s="161"/>
      <c r="AV101" s="83"/>
      <c r="AW101" s="83"/>
      <c r="AX101" s="156"/>
    </row>
    <row r="102" spans="1:50" ht="15" thickBot="1" x14ac:dyDescent="0.35">
      <c r="A102" s="80">
        <f t="shared" si="41"/>
        <v>95</v>
      </c>
      <c r="B102" s="80" t="s">
        <v>270</v>
      </c>
      <c r="C102" s="232" t="str">
        <f>IFERROR(VLOOKUP(B102,'Importer Data Fields'!C:D,2,0),"")</f>
        <v>Door Hardware</v>
      </c>
      <c r="D102" s="70"/>
      <c r="E102" s="71"/>
      <c r="F102" s="72"/>
      <c r="G102" s="70"/>
      <c r="H102" s="71"/>
      <c r="I102" s="73" t="s">
        <v>256</v>
      </c>
      <c r="J102" s="70"/>
      <c r="K102" s="74">
        <f t="shared" ref="K102" si="78">J102*H102</f>
        <v>0</v>
      </c>
      <c r="L102" s="75"/>
      <c r="M102" s="70"/>
      <c r="N102" s="76">
        <f t="shared" ref="N102" si="79">ROUND(L102*M102*H102,0)</f>
        <v>0</v>
      </c>
      <c r="O102" s="90"/>
      <c r="P102" s="74">
        <f t="shared" ref="P102" si="80">O102*N102</f>
        <v>0</v>
      </c>
      <c r="Q102" s="70"/>
      <c r="R102" s="76"/>
      <c r="S102" s="90"/>
      <c r="T102" s="74">
        <f t="shared" ref="T102" si="81">S102*Q102</f>
        <v>0</v>
      </c>
      <c r="U102" s="86"/>
      <c r="V102" s="74">
        <f t="shared" ref="V102" si="82">H102*U102</f>
        <v>0</v>
      </c>
      <c r="W102" s="79">
        <f t="shared" ref="W102" si="83">V102+T102+P102+K102</f>
        <v>0</v>
      </c>
      <c r="X102" s="81"/>
      <c r="AC102" s="149"/>
      <c r="AD102" s="131"/>
      <c r="AE102" s="131"/>
      <c r="AF102" s="131"/>
      <c r="AG102" s="131"/>
      <c r="AH102" s="131"/>
      <c r="AI102" s="150"/>
      <c r="AJ102" s="131"/>
      <c r="AK102" s="84"/>
      <c r="AL102" s="151"/>
      <c r="AM102" s="131"/>
      <c r="AN102" s="152"/>
      <c r="AO102" s="153"/>
      <c r="AP102" s="84"/>
      <c r="AQ102" s="131"/>
      <c r="AR102" s="152"/>
      <c r="AS102" s="153"/>
      <c r="AT102" s="84"/>
      <c r="AU102" s="153"/>
      <c r="AV102" s="84"/>
      <c r="AW102" s="84"/>
    </row>
    <row r="103" spans="1:50" ht="15" thickBot="1" x14ac:dyDescent="0.35">
      <c r="A103" s="80">
        <f t="shared" si="41"/>
        <v>96</v>
      </c>
      <c r="B103" s="80" t="s">
        <v>271</v>
      </c>
      <c r="C103" s="232" t="str">
        <f>IFERROR(VLOOKUP(B103,'Importer Data Fields'!C:D,2,0),"")</f>
        <v>Storefronts</v>
      </c>
      <c r="D103" s="70"/>
      <c r="E103" s="71"/>
      <c r="F103" s="72"/>
      <c r="G103" s="70"/>
      <c r="H103" s="71"/>
      <c r="I103" s="73" t="s">
        <v>256</v>
      </c>
      <c r="J103" s="70"/>
      <c r="K103" s="74">
        <f t="shared" si="33"/>
        <v>0</v>
      </c>
      <c r="L103" s="75"/>
      <c r="M103" s="70"/>
      <c r="N103" s="76">
        <f t="shared" si="40"/>
        <v>0</v>
      </c>
      <c r="O103" s="90"/>
      <c r="P103" s="74">
        <f t="shared" si="35"/>
        <v>0</v>
      </c>
      <c r="Q103" s="70"/>
      <c r="R103" s="76"/>
      <c r="S103" s="90"/>
      <c r="T103" s="74">
        <f t="shared" si="36"/>
        <v>0</v>
      </c>
      <c r="U103" s="86"/>
      <c r="V103" s="74">
        <f t="shared" si="37"/>
        <v>0</v>
      </c>
      <c r="W103" s="79">
        <f t="shared" si="38"/>
        <v>0</v>
      </c>
      <c r="X103" s="80"/>
      <c r="AC103" s="85"/>
      <c r="AD103" s="131"/>
      <c r="AE103" s="131"/>
      <c r="AF103" s="131"/>
      <c r="AG103" s="131"/>
      <c r="AH103" s="131"/>
      <c r="AI103" s="150"/>
      <c r="AJ103" s="131"/>
      <c r="AK103" s="84"/>
      <c r="AL103" s="151"/>
      <c r="AM103" s="131"/>
      <c r="AN103" s="152"/>
      <c r="AO103" s="153"/>
      <c r="AP103" s="84"/>
      <c r="AQ103" s="131"/>
      <c r="AR103" s="152"/>
      <c r="AS103" s="153"/>
      <c r="AT103" s="84"/>
      <c r="AU103" s="153"/>
      <c r="AV103" s="84"/>
      <c r="AW103" s="84"/>
    </row>
    <row r="104" spans="1:50" ht="15" customHeight="1" thickBot="1" x14ac:dyDescent="0.35">
      <c r="A104" s="80">
        <f t="shared" si="41"/>
        <v>97</v>
      </c>
      <c r="B104" s="80"/>
      <c r="C104" s="232" t="str">
        <f>IFERROR(VLOOKUP(B104,'Importer Data Fields'!C:D,2,0),"")</f>
        <v/>
      </c>
      <c r="D104" s="70"/>
      <c r="E104" s="71"/>
      <c r="F104" s="72"/>
      <c r="G104" s="70"/>
      <c r="H104" s="71"/>
      <c r="I104" s="73"/>
      <c r="J104" s="70"/>
      <c r="K104" s="74">
        <f t="shared" si="33"/>
        <v>0</v>
      </c>
      <c r="L104" s="75"/>
      <c r="M104" s="70"/>
      <c r="N104" s="76">
        <f t="shared" si="40"/>
        <v>0</v>
      </c>
      <c r="O104" s="90"/>
      <c r="P104" s="74">
        <f t="shared" si="35"/>
        <v>0</v>
      </c>
      <c r="Q104" s="70"/>
      <c r="R104" s="76"/>
      <c r="S104" s="90"/>
      <c r="T104" s="74">
        <f t="shared" si="36"/>
        <v>0</v>
      </c>
      <c r="U104" s="86"/>
      <c r="V104" s="74">
        <f t="shared" si="37"/>
        <v>0</v>
      </c>
      <c r="W104" s="79">
        <f t="shared" si="38"/>
        <v>0</v>
      </c>
      <c r="X104" s="80"/>
    </row>
    <row r="105" spans="1:50" ht="15" customHeight="1" thickBot="1" x14ac:dyDescent="0.35">
      <c r="A105" s="80">
        <f t="shared" si="41"/>
        <v>98</v>
      </c>
      <c r="B105" s="80" t="s">
        <v>272</v>
      </c>
      <c r="C105" s="232" t="str">
        <f>IFERROR(VLOOKUP(B105,'Importer Data Fields'!C:D,2,0),"")</f>
        <v>Overhead Doors</v>
      </c>
      <c r="D105" s="70"/>
      <c r="E105" s="71"/>
      <c r="F105" s="72"/>
      <c r="G105" s="70"/>
      <c r="H105" s="71"/>
      <c r="I105" s="73" t="s">
        <v>256</v>
      </c>
      <c r="J105" s="70"/>
      <c r="K105" s="74">
        <f t="shared" si="33"/>
        <v>0</v>
      </c>
      <c r="L105" s="75"/>
      <c r="M105" s="70"/>
      <c r="N105" s="76">
        <f t="shared" si="40"/>
        <v>0</v>
      </c>
      <c r="O105" s="90"/>
      <c r="P105" s="74">
        <f t="shared" si="35"/>
        <v>0</v>
      </c>
      <c r="Q105" s="70"/>
      <c r="R105" s="76"/>
      <c r="S105" s="90"/>
      <c r="T105" s="74">
        <f t="shared" si="36"/>
        <v>0</v>
      </c>
      <c r="U105" s="86"/>
      <c r="V105" s="74">
        <f t="shared" ref="V105:V177" si="84">H105*U105</f>
        <v>0</v>
      </c>
      <c r="W105" s="79">
        <f t="shared" ref="W105:W177" si="85">V105+T105+P105+K105</f>
        <v>0</v>
      </c>
      <c r="X105" s="80"/>
    </row>
    <row r="106" spans="1:50" ht="15" customHeight="1" thickBot="1" x14ac:dyDescent="0.35">
      <c r="A106" s="80">
        <f t="shared" si="41"/>
        <v>99</v>
      </c>
      <c r="B106" s="80"/>
      <c r="C106" s="232" t="str">
        <f>IFERROR(VLOOKUP(B106,'Importer Data Fields'!C:D,2,0),"")</f>
        <v/>
      </c>
      <c r="D106" s="70"/>
      <c r="E106" s="71"/>
      <c r="F106" s="72"/>
      <c r="G106" s="70"/>
      <c r="H106" s="71"/>
      <c r="I106" s="73"/>
      <c r="J106" s="70"/>
      <c r="K106" s="74">
        <f t="shared" si="33"/>
        <v>0</v>
      </c>
      <c r="L106" s="75"/>
      <c r="M106" s="70"/>
      <c r="N106" s="76">
        <f t="shared" si="40"/>
        <v>0</v>
      </c>
      <c r="O106" s="90"/>
      <c r="P106" s="74">
        <f t="shared" si="35"/>
        <v>0</v>
      </c>
      <c r="Q106" s="70"/>
      <c r="R106" s="76"/>
      <c r="S106" s="90"/>
      <c r="T106" s="74">
        <f t="shared" si="36"/>
        <v>0</v>
      </c>
      <c r="U106" s="86"/>
      <c r="V106" s="74">
        <f t="shared" si="84"/>
        <v>0</v>
      </c>
      <c r="W106" s="79">
        <f t="shared" si="85"/>
        <v>0</v>
      </c>
      <c r="X106" s="80"/>
      <c r="AC106" s="154"/>
      <c r="AD106" s="131"/>
      <c r="AE106" s="131"/>
      <c r="AF106" s="131"/>
      <c r="AG106" s="131"/>
      <c r="AH106" s="131"/>
      <c r="AI106" s="150"/>
      <c r="AJ106" s="131"/>
      <c r="AK106" s="84"/>
      <c r="AL106" s="151"/>
      <c r="AM106" s="131"/>
      <c r="AN106" s="152"/>
      <c r="AO106" s="153"/>
      <c r="AP106" s="84"/>
      <c r="AQ106" s="131"/>
      <c r="AR106" s="152"/>
      <c r="AS106" s="153"/>
      <c r="AT106" s="84"/>
      <c r="AU106" s="153"/>
      <c r="AV106" s="84"/>
      <c r="AW106" s="84"/>
    </row>
    <row r="107" spans="1:50" ht="15" customHeight="1" thickBot="1" x14ac:dyDescent="0.35">
      <c r="A107" s="80">
        <f t="shared" si="41"/>
        <v>100</v>
      </c>
      <c r="B107" s="80" t="s">
        <v>269</v>
      </c>
      <c r="C107" s="232" t="str">
        <f>IFERROR(VLOOKUP(B107,'Importer Data Fields'!C:D,2,0),"")</f>
        <v>Access Doors and Panels</v>
      </c>
      <c r="D107" s="70"/>
      <c r="E107" s="71"/>
      <c r="F107" s="72"/>
      <c r="G107" s="70"/>
      <c r="H107" s="71"/>
      <c r="I107" s="73" t="s">
        <v>256</v>
      </c>
      <c r="J107" s="70"/>
      <c r="K107" s="74">
        <f t="shared" ref="K107:K179" si="86">J107*H107</f>
        <v>0</v>
      </c>
      <c r="L107" s="75"/>
      <c r="M107" s="70"/>
      <c r="N107" s="76">
        <f t="shared" si="40"/>
        <v>0</v>
      </c>
      <c r="O107" s="90"/>
      <c r="P107" s="74">
        <f t="shared" ref="P107:P179" si="87">O107*N107</f>
        <v>0</v>
      </c>
      <c r="Q107" s="70"/>
      <c r="R107" s="76"/>
      <c r="S107" s="90"/>
      <c r="T107" s="74">
        <f t="shared" ref="T107:T179" si="88">S107*Q107</f>
        <v>0</v>
      </c>
      <c r="U107" s="86"/>
      <c r="V107" s="74">
        <f t="shared" si="84"/>
        <v>0</v>
      </c>
      <c r="W107" s="79">
        <f t="shared" si="85"/>
        <v>0</v>
      </c>
      <c r="X107" s="80"/>
      <c r="AC107" s="154"/>
      <c r="AD107" s="131"/>
      <c r="AE107" s="131"/>
      <c r="AF107" s="131"/>
      <c r="AG107" s="131"/>
      <c r="AH107" s="131"/>
      <c r="AI107" s="150"/>
      <c r="AJ107" s="131"/>
      <c r="AK107" s="84"/>
      <c r="AL107" s="151"/>
      <c r="AM107" s="131"/>
      <c r="AN107" s="152"/>
      <c r="AO107" s="153"/>
      <c r="AP107" s="84"/>
      <c r="AQ107" s="131"/>
      <c r="AR107" s="152"/>
      <c r="AS107" s="153"/>
      <c r="AT107" s="84"/>
      <c r="AU107" s="153"/>
      <c r="AV107" s="84"/>
      <c r="AW107" s="84"/>
    </row>
    <row r="108" spans="1:50" ht="15" customHeight="1" thickBot="1" x14ac:dyDescent="0.35">
      <c r="A108" s="80">
        <f t="shared" si="41"/>
        <v>101</v>
      </c>
      <c r="B108" s="80"/>
      <c r="C108" s="232" t="str">
        <f>IFERROR(VLOOKUP(B108,'Importer Data Fields'!C:D,2,0),"")</f>
        <v/>
      </c>
      <c r="D108" s="70"/>
      <c r="E108" s="71"/>
      <c r="F108" s="72"/>
      <c r="G108" s="70"/>
      <c r="H108" s="71"/>
      <c r="I108" s="73"/>
      <c r="J108" s="70"/>
      <c r="K108" s="74">
        <f t="shared" si="86"/>
        <v>0</v>
      </c>
      <c r="L108" s="75"/>
      <c r="M108" s="70"/>
      <c r="N108" s="76">
        <f t="shared" si="40"/>
        <v>0</v>
      </c>
      <c r="O108" s="90"/>
      <c r="P108" s="74">
        <f t="shared" si="87"/>
        <v>0</v>
      </c>
      <c r="Q108" s="70"/>
      <c r="R108" s="76"/>
      <c r="S108" s="90"/>
      <c r="T108" s="74">
        <f t="shared" si="88"/>
        <v>0</v>
      </c>
      <c r="U108" s="86"/>
      <c r="V108" s="74">
        <f t="shared" si="84"/>
        <v>0</v>
      </c>
      <c r="W108" s="79">
        <f t="shared" si="85"/>
        <v>0</v>
      </c>
      <c r="X108" s="80"/>
      <c r="AC108" s="154"/>
      <c r="AD108" s="131"/>
      <c r="AE108" s="131"/>
      <c r="AF108" s="131"/>
      <c r="AG108" s="131"/>
      <c r="AH108" s="131"/>
      <c r="AI108" s="150"/>
      <c r="AJ108" s="131"/>
      <c r="AK108" s="84"/>
      <c r="AL108" s="151"/>
      <c r="AM108" s="131"/>
      <c r="AN108" s="152"/>
      <c r="AO108" s="153"/>
      <c r="AP108" s="84"/>
      <c r="AQ108" s="131"/>
      <c r="AR108" s="152"/>
      <c r="AS108" s="153"/>
      <c r="AT108" s="84"/>
      <c r="AU108" s="153"/>
      <c r="AV108" s="84"/>
      <c r="AW108" s="84"/>
    </row>
    <row r="109" spans="1:50" ht="15" thickBot="1" x14ac:dyDescent="0.35">
      <c r="A109" s="80">
        <f t="shared" si="41"/>
        <v>102</v>
      </c>
      <c r="B109" s="80"/>
      <c r="C109" s="232" t="str">
        <f>IFERROR(VLOOKUP(B109,'Importer Data Fields'!C:D,2,0),"")</f>
        <v/>
      </c>
      <c r="D109" s="70"/>
      <c r="E109" s="71"/>
      <c r="F109" s="72"/>
      <c r="G109" s="70"/>
      <c r="H109" s="71"/>
      <c r="I109" s="73" t="s">
        <v>256</v>
      </c>
      <c r="J109" s="70"/>
      <c r="K109" s="74">
        <f t="shared" si="86"/>
        <v>0</v>
      </c>
      <c r="L109" s="75"/>
      <c r="M109" s="70"/>
      <c r="N109" s="76">
        <f t="shared" si="40"/>
        <v>0</v>
      </c>
      <c r="O109" s="90"/>
      <c r="P109" s="74">
        <f t="shared" si="87"/>
        <v>0</v>
      </c>
      <c r="Q109" s="70"/>
      <c r="R109" s="76"/>
      <c r="S109" s="90"/>
      <c r="T109" s="74">
        <f t="shared" si="88"/>
        <v>0</v>
      </c>
      <c r="U109" s="86"/>
      <c r="V109" s="74">
        <f t="shared" si="84"/>
        <v>0</v>
      </c>
      <c r="W109" s="79">
        <f t="shared" si="85"/>
        <v>0</v>
      </c>
      <c r="X109" s="80"/>
      <c r="AC109" s="154"/>
      <c r="AD109" s="131"/>
      <c r="AE109" s="131"/>
      <c r="AF109" s="131"/>
      <c r="AG109" s="131"/>
      <c r="AH109" s="131"/>
      <c r="AI109" s="150"/>
      <c r="AJ109" s="131"/>
      <c r="AK109" s="84"/>
      <c r="AL109" s="151"/>
      <c r="AM109" s="131"/>
      <c r="AN109" s="152"/>
      <c r="AO109" s="153"/>
      <c r="AP109" s="84"/>
      <c r="AQ109" s="131"/>
      <c r="AR109" s="152"/>
      <c r="AS109" s="153"/>
      <c r="AT109" s="84"/>
      <c r="AU109" s="153"/>
      <c r="AV109" s="84"/>
      <c r="AW109" s="84"/>
    </row>
    <row r="110" spans="1:50" ht="15" thickBot="1" x14ac:dyDescent="0.35">
      <c r="A110" s="80">
        <f t="shared" si="41"/>
        <v>103</v>
      </c>
      <c r="B110" s="80"/>
      <c r="C110" s="232" t="str">
        <f>IFERROR(VLOOKUP(B110,'Importer Data Fields'!C:D,2,0),"")</f>
        <v/>
      </c>
      <c r="D110" s="70"/>
      <c r="E110" s="71"/>
      <c r="F110" s="72"/>
      <c r="G110" s="70"/>
      <c r="H110" s="71"/>
      <c r="I110" s="73" t="s">
        <v>256</v>
      </c>
      <c r="J110" s="70"/>
      <c r="K110" s="74">
        <f t="shared" si="86"/>
        <v>0</v>
      </c>
      <c r="L110" s="75"/>
      <c r="M110" s="70"/>
      <c r="N110" s="76">
        <f t="shared" si="40"/>
        <v>0</v>
      </c>
      <c r="O110" s="90"/>
      <c r="P110" s="74">
        <f t="shared" si="87"/>
        <v>0</v>
      </c>
      <c r="Q110" s="70"/>
      <c r="R110" s="76"/>
      <c r="S110" s="90"/>
      <c r="T110" s="74">
        <f t="shared" si="88"/>
        <v>0</v>
      </c>
      <c r="U110" s="86"/>
      <c r="V110" s="74">
        <f t="shared" si="84"/>
        <v>0</v>
      </c>
      <c r="W110" s="79">
        <f t="shared" si="85"/>
        <v>0</v>
      </c>
      <c r="X110" s="80"/>
      <c r="AC110" s="154"/>
      <c r="AD110" s="131"/>
      <c r="AE110" s="131"/>
      <c r="AF110" s="131"/>
      <c r="AG110" s="131"/>
      <c r="AH110" s="131"/>
      <c r="AI110" s="150"/>
      <c r="AJ110" s="131"/>
      <c r="AK110" s="84"/>
      <c r="AL110" s="151"/>
      <c r="AM110" s="131"/>
      <c r="AN110" s="152"/>
      <c r="AO110" s="153"/>
      <c r="AP110" s="84"/>
      <c r="AQ110" s="131"/>
      <c r="AR110" s="152"/>
      <c r="AS110" s="153"/>
      <c r="AT110" s="84"/>
      <c r="AU110" s="153"/>
      <c r="AV110" s="84"/>
      <c r="AW110" s="84"/>
    </row>
    <row r="111" spans="1:50" ht="15" thickBot="1" x14ac:dyDescent="0.35">
      <c r="A111" s="80">
        <f t="shared" si="41"/>
        <v>104</v>
      </c>
      <c r="B111" s="80"/>
      <c r="C111" s="232" t="str">
        <f>IFERROR(VLOOKUP(B111,'Importer Data Fields'!C:D,2,0),"")</f>
        <v/>
      </c>
      <c r="D111" s="70"/>
      <c r="E111" s="71"/>
      <c r="F111" s="72"/>
      <c r="G111" s="70"/>
      <c r="H111" s="71"/>
      <c r="I111" s="73" t="s">
        <v>256</v>
      </c>
      <c r="J111" s="70"/>
      <c r="K111" s="74">
        <f t="shared" si="86"/>
        <v>0</v>
      </c>
      <c r="L111" s="75"/>
      <c r="M111" s="70"/>
      <c r="N111" s="76">
        <f t="shared" ref="N111:N188" si="89">L111*M111*H111</f>
        <v>0</v>
      </c>
      <c r="O111" s="90"/>
      <c r="P111" s="74">
        <f t="shared" si="87"/>
        <v>0</v>
      </c>
      <c r="Q111" s="70"/>
      <c r="R111" s="76"/>
      <c r="S111" s="90"/>
      <c r="T111" s="74">
        <f t="shared" si="88"/>
        <v>0</v>
      </c>
      <c r="U111" s="86"/>
      <c r="V111" s="74">
        <f t="shared" si="84"/>
        <v>0</v>
      </c>
      <c r="W111" s="79">
        <f t="shared" si="85"/>
        <v>0</v>
      </c>
      <c r="X111" s="80"/>
      <c r="AC111" s="154"/>
      <c r="AD111" s="131"/>
      <c r="AE111" s="131"/>
      <c r="AF111" s="131"/>
      <c r="AG111" s="131"/>
      <c r="AH111" s="131"/>
      <c r="AI111" s="150"/>
      <c r="AJ111" s="131"/>
      <c r="AK111" s="84"/>
      <c r="AL111" s="151"/>
      <c r="AM111" s="131"/>
      <c r="AN111" s="152"/>
      <c r="AO111" s="153"/>
      <c r="AP111" s="84"/>
      <c r="AQ111" s="131"/>
      <c r="AR111" s="152"/>
      <c r="AS111" s="153"/>
      <c r="AT111" s="84"/>
      <c r="AU111" s="153"/>
      <c r="AV111" s="84"/>
      <c r="AW111" s="84"/>
    </row>
    <row r="112" spans="1:50" ht="15" thickBot="1" x14ac:dyDescent="0.35">
      <c r="A112" s="80">
        <f t="shared" si="41"/>
        <v>105</v>
      </c>
      <c r="B112" s="231"/>
      <c r="C112" s="232" t="str">
        <f>IFERROR(VLOOKUP(B112,'Importer Data Fields'!C:D,2,0),"")</f>
        <v/>
      </c>
      <c r="D112" s="70"/>
      <c r="E112" s="71"/>
      <c r="F112" s="72"/>
      <c r="G112" s="70"/>
      <c r="H112" s="71"/>
      <c r="I112" s="73"/>
      <c r="J112" s="70"/>
      <c r="K112" s="74">
        <f t="shared" si="86"/>
        <v>0</v>
      </c>
      <c r="L112" s="75"/>
      <c r="M112" s="70"/>
      <c r="N112" s="76">
        <f t="shared" si="89"/>
        <v>0</v>
      </c>
      <c r="O112" s="90"/>
      <c r="P112" s="74">
        <f t="shared" si="87"/>
        <v>0</v>
      </c>
      <c r="Q112" s="70"/>
      <c r="R112" s="76"/>
      <c r="S112" s="90"/>
      <c r="T112" s="74">
        <f t="shared" si="88"/>
        <v>0</v>
      </c>
      <c r="U112" s="86"/>
      <c r="V112" s="74">
        <f t="shared" si="84"/>
        <v>0</v>
      </c>
      <c r="W112" s="79">
        <f t="shared" si="85"/>
        <v>0</v>
      </c>
      <c r="X112" s="80"/>
      <c r="AA112" t="s">
        <v>273</v>
      </c>
      <c r="AB112" s="87">
        <v>0</v>
      </c>
      <c r="AC112" s="154"/>
      <c r="AD112" s="131"/>
      <c r="AE112" s="131"/>
      <c r="AF112" s="131"/>
      <c r="AG112" s="131"/>
      <c r="AH112" s="131"/>
      <c r="AI112" s="150"/>
      <c r="AJ112" s="131"/>
      <c r="AK112" s="84"/>
      <c r="AL112" s="151"/>
      <c r="AM112" s="131"/>
      <c r="AN112" s="152"/>
      <c r="AO112" s="153"/>
      <c r="AP112" s="84"/>
      <c r="AQ112" s="131"/>
      <c r="AR112" s="152"/>
      <c r="AS112" s="153"/>
      <c r="AT112" s="84"/>
      <c r="AU112" s="153"/>
      <c r="AV112" s="84"/>
      <c r="AW112" s="84"/>
    </row>
    <row r="113" spans="1:50" ht="15" thickBot="1" x14ac:dyDescent="0.35">
      <c r="A113" s="165">
        <f t="shared" si="41"/>
        <v>106</v>
      </c>
      <c r="B113" s="314" t="s">
        <v>274</v>
      </c>
      <c r="C113" s="315"/>
      <c r="D113" s="167"/>
      <c r="E113" s="168"/>
      <c r="F113" s="169"/>
      <c r="G113" s="167"/>
      <c r="H113" s="168"/>
      <c r="I113" s="170"/>
      <c r="J113" s="167"/>
      <c r="K113" s="171">
        <f t="shared" si="86"/>
        <v>0</v>
      </c>
      <c r="L113" s="172"/>
      <c r="M113" s="167"/>
      <c r="N113" s="173">
        <f t="shared" si="89"/>
        <v>0</v>
      </c>
      <c r="O113" s="174"/>
      <c r="P113" s="171">
        <f t="shared" si="87"/>
        <v>0</v>
      </c>
      <c r="Q113" s="167"/>
      <c r="R113" s="173"/>
      <c r="S113" s="174"/>
      <c r="T113" s="171">
        <f t="shared" si="88"/>
        <v>0</v>
      </c>
      <c r="U113" s="175"/>
      <c r="V113" s="171">
        <f t="shared" si="84"/>
        <v>0</v>
      </c>
      <c r="W113" s="176">
        <f t="shared" si="85"/>
        <v>0</v>
      </c>
      <c r="X113" s="165"/>
      <c r="Y113" s="180">
        <f>SUM(W113:W136)</f>
        <v>0</v>
      </c>
      <c r="AA113" t="s">
        <v>275</v>
      </c>
      <c r="AB113" s="87">
        <v>12</v>
      </c>
      <c r="AC113" s="154"/>
      <c r="AD113" s="131"/>
      <c r="AE113" s="131"/>
      <c r="AF113" s="131"/>
      <c r="AG113" s="131"/>
      <c r="AH113" s="131"/>
      <c r="AI113" s="150"/>
      <c r="AJ113" s="131"/>
      <c r="AK113" s="84"/>
      <c r="AL113" s="151"/>
      <c r="AM113" s="131"/>
      <c r="AN113" s="152"/>
      <c r="AO113" s="153"/>
      <c r="AP113" s="84"/>
      <c r="AQ113" s="131"/>
      <c r="AR113" s="152"/>
      <c r="AS113" s="153"/>
      <c r="AT113" s="84"/>
      <c r="AU113" s="153"/>
      <c r="AV113" s="84"/>
      <c r="AW113" s="84"/>
    </row>
    <row r="114" spans="1:50" s="87" customFormat="1" ht="15" thickBot="1" x14ac:dyDescent="0.35">
      <c r="A114" s="80">
        <f t="shared" si="41"/>
        <v>107</v>
      </c>
      <c r="B114" s="232" t="s">
        <v>276</v>
      </c>
      <c r="C114" s="232" t="str">
        <f>IFERROR(VLOOKUP(B114,'Importer Data Fields'!C:D,2,0),"")</f>
        <v>Gypsum Board Assemblies</v>
      </c>
      <c r="D114" s="70"/>
      <c r="E114" s="71"/>
      <c r="F114" s="72"/>
      <c r="G114" s="70"/>
      <c r="H114" s="71"/>
      <c r="I114" s="73" t="s">
        <v>108</v>
      </c>
      <c r="J114" s="70"/>
      <c r="K114" s="74">
        <f t="shared" si="86"/>
        <v>0</v>
      </c>
      <c r="L114" s="75"/>
      <c r="M114" s="70"/>
      <c r="N114" s="76">
        <f t="shared" si="89"/>
        <v>0</v>
      </c>
      <c r="O114" s="90"/>
      <c r="P114" s="74">
        <f t="shared" si="87"/>
        <v>0</v>
      </c>
      <c r="Q114" s="70"/>
      <c r="R114" s="76"/>
      <c r="S114" s="90"/>
      <c r="T114" s="74">
        <f t="shared" si="88"/>
        <v>0</v>
      </c>
      <c r="U114" s="86"/>
      <c r="V114" s="74">
        <f t="shared" si="84"/>
        <v>0</v>
      </c>
      <c r="W114" s="79">
        <f t="shared" si="85"/>
        <v>0</v>
      </c>
      <c r="X114" s="81"/>
      <c r="AA114" t="s">
        <v>277</v>
      </c>
      <c r="AB114" s="87">
        <f>16+16+28+12+23+6+5+22+5+27+6+28+6</f>
        <v>200</v>
      </c>
      <c r="AC114" s="156"/>
      <c r="AD114" s="157"/>
      <c r="AE114" s="157"/>
      <c r="AF114" s="157"/>
      <c r="AG114" s="157"/>
      <c r="AH114" s="157"/>
      <c r="AI114" s="158"/>
      <c r="AJ114" s="157"/>
      <c r="AK114" s="83"/>
      <c r="AL114" s="159"/>
      <c r="AM114" s="157"/>
      <c r="AN114" s="160"/>
      <c r="AO114" s="161"/>
      <c r="AP114" s="83"/>
      <c r="AQ114" s="157"/>
      <c r="AR114" s="160"/>
      <c r="AS114" s="161"/>
      <c r="AT114" s="83"/>
      <c r="AU114" s="161"/>
      <c r="AV114" s="83"/>
      <c r="AW114" s="83"/>
      <c r="AX114" s="156"/>
    </row>
    <row r="115" spans="1:50" ht="15" thickBot="1" x14ac:dyDescent="0.35">
      <c r="A115" s="80">
        <f t="shared" si="41"/>
        <v>108</v>
      </c>
      <c r="B115" s="80"/>
      <c r="C115" s="232" t="str">
        <f>IFERROR(VLOOKUP(B115,'Importer Data Fields'!C:D,2,0),"")</f>
        <v/>
      </c>
      <c r="D115" s="70"/>
      <c r="E115" s="71"/>
      <c r="F115" s="72"/>
      <c r="G115" s="70"/>
      <c r="H115" s="71"/>
      <c r="I115" s="73" t="s">
        <v>252</v>
      </c>
      <c r="J115" s="70"/>
      <c r="K115" s="74">
        <f t="shared" si="86"/>
        <v>0</v>
      </c>
      <c r="L115" s="75"/>
      <c r="M115" s="70"/>
      <c r="N115" s="76">
        <f t="shared" si="89"/>
        <v>0</v>
      </c>
      <c r="O115" s="90"/>
      <c r="P115" s="74">
        <f t="shared" si="87"/>
        <v>0</v>
      </c>
      <c r="Q115" s="70"/>
      <c r="R115" s="76"/>
      <c r="S115" s="90"/>
      <c r="T115" s="74">
        <f t="shared" si="88"/>
        <v>0</v>
      </c>
      <c r="U115" s="86"/>
      <c r="V115" s="74">
        <f t="shared" si="84"/>
        <v>0</v>
      </c>
      <c r="W115" s="79">
        <f t="shared" si="85"/>
        <v>0</v>
      </c>
      <c r="X115" s="81"/>
      <c r="AA115" s="163" t="s">
        <v>218</v>
      </c>
      <c r="AB115" s="163" t="s">
        <v>230</v>
      </c>
      <c r="AC115" s="163" t="s">
        <v>278</v>
      </c>
      <c r="AD115" s="163" t="s">
        <v>11</v>
      </c>
    </row>
    <row r="116" spans="1:50" ht="15" thickBot="1" x14ac:dyDescent="0.35">
      <c r="A116" s="80">
        <f t="shared" si="41"/>
        <v>109</v>
      </c>
      <c r="B116" s="80" t="s">
        <v>276</v>
      </c>
      <c r="C116" s="232" t="str">
        <f>IFERROR(VLOOKUP(B116,'Importer Data Fields'!C:D,2,0),"")</f>
        <v>Gypsum Board Assemblies</v>
      </c>
      <c r="D116" s="70"/>
      <c r="E116" s="71"/>
      <c r="F116" s="72"/>
      <c r="G116" s="70"/>
      <c r="H116" s="71"/>
      <c r="I116" s="73" t="s">
        <v>252</v>
      </c>
      <c r="J116" s="70"/>
      <c r="K116" s="74">
        <f t="shared" si="86"/>
        <v>0</v>
      </c>
      <c r="L116" s="75"/>
      <c r="M116" s="70"/>
      <c r="N116" s="76">
        <f t="shared" si="89"/>
        <v>0</v>
      </c>
      <c r="O116" s="90"/>
      <c r="P116" s="74">
        <f>O116*N116</f>
        <v>0</v>
      </c>
      <c r="Q116" s="70"/>
      <c r="R116" s="76"/>
      <c r="S116" s="90"/>
      <c r="T116" s="74">
        <f t="shared" si="88"/>
        <v>0</v>
      </c>
      <c r="U116" s="86"/>
      <c r="V116" s="74">
        <f>H116*U116</f>
        <v>0</v>
      </c>
      <c r="W116" s="79">
        <f t="shared" si="85"/>
        <v>0</v>
      </c>
      <c r="X116" s="81"/>
      <c r="AA116" t="s">
        <v>279</v>
      </c>
      <c r="AB116" s="162">
        <v>20.9</v>
      </c>
      <c r="AC116">
        <f>(AB114*1.15)</f>
        <v>229.99999999999997</v>
      </c>
      <c r="AD116" s="162">
        <f>AB116*AC116</f>
        <v>4806.9999999999991</v>
      </c>
    </row>
    <row r="117" spans="1:50" ht="15" thickBot="1" x14ac:dyDescent="0.35">
      <c r="A117" s="80">
        <f t="shared" si="41"/>
        <v>110</v>
      </c>
      <c r="B117" s="80" t="s">
        <v>280</v>
      </c>
      <c r="C117" s="232" t="str">
        <f>IFERROR(VLOOKUP(B117,'Importer Data Fields'!C:D,2,0),"")</f>
        <v>Non-Structural Metal Framing</v>
      </c>
      <c r="D117" s="70"/>
      <c r="E117" s="71"/>
      <c r="F117" s="72"/>
      <c r="G117" s="70"/>
      <c r="H117" s="71"/>
      <c r="I117" s="73" t="s">
        <v>252</v>
      </c>
      <c r="J117" s="70"/>
      <c r="K117" s="74">
        <f t="shared" si="86"/>
        <v>0</v>
      </c>
      <c r="L117" s="75"/>
      <c r="M117" s="70"/>
      <c r="N117" s="76">
        <f t="shared" si="89"/>
        <v>0</v>
      </c>
      <c r="O117" s="90"/>
      <c r="P117" s="74">
        <f t="shared" si="87"/>
        <v>0</v>
      </c>
      <c r="Q117" s="70"/>
      <c r="R117" s="76"/>
      <c r="S117" s="90"/>
      <c r="T117" s="74">
        <f t="shared" si="88"/>
        <v>0</v>
      </c>
      <c r="U117" s="86"/>
      <c r="V117" s="74">
        <f t="shared" si="84"/>
        <v>0</v>
      </c>
      <c r="W117" s="79">
        <f t="shared" si="85"/>
        <v>0</v>
      </c>
      <c r="X117" s="81"/>
      <c r="Z117" s="84"/>
      <c r="AA117" t="s">
        <v>281</v>
      </c>
      <c r="AB117" s="162">
        <v>0.51</v>
      </c>
      <c r="AC117">
        <f>((AB114*AB113*2)+(AB112*AB113))*1.1</f>
        <v>5280</v>
      </c>
      <c r="AD117" s="162">
        <f>AB117*AC117</f>
        <v>2692.8</v>
      </c>
    </row>
    <row r="118" spans="1:50" ht="15" thickBot="1" x14ac:dyDescent="0.35">
      <c r="A118" s="80">
        <f t="shared" si="41"/>
        <v>111</v>
      </c>
      <c r="B118" s="80"/>
      <c r="C118" s="232" t="str">
        <f>IFERROR(VLOOKUP(B118,'Importer Data Fields'!C:D,2,0),"")</f>
        <v/>
      </c>
      <c r="D118" s="70"/>
      <c r="E118" s="71"/>
      <c r="F118" s="72"/>
      <c r="G118" s="70"/>
      <c r="H118" s="71"/>
      <c r="I118" s="73" t="s">
        <v>252</v>
      </c>
      <c r="J118" s="70"/>
      <c r="K118" s="74">
        <f t="shared" si="86"/>
        <v>0</v>
      </c>
      <c r="L118" s="75"/>
      <c r="M118" s="70"/>
      <c r="N118" s="76">
        <f t="shared" si="89"/>
        <v>0</v>
      </c>
      <c r="O118" s="90"/>
      <c r="P118" s="74">
        <f t="shared" si="87"/>
        <v>0</v>
      </c>
      <c r="Q118" s="70"/>
      <c r="R118" s="76"/>
      <c r="S118" s="90"/>
      <c r="T118" s="74">
        <f t="shared" si="88"/>
        <v>0</v>
      </c>
      <c r="U118" s="86"/>
      <c r="V118" s="74">
        <f t="shared" si="84"/>
        <v>0</v>
      </c>
      <c r="W118" s="79">
        <f t="shared" si="85"/>
        <v>0</v>
      </c>
      <c r="X118" s="80"/>
      <c r="AA118" t="s">
        <v>282</v>
      </c>
      <c r="AB118" s="162">
        <v>2.5</v>
      </c>
      <c r="AC118">
        <f>(AB114*1.15)</f>
        <v>229.99999999999997</v>
      </c>
      <c r="AD118" s="162">
        <f t="shared" ref="AD118:AD122" si="90">AB118*AC118</f>
        <v>574.99999999999989</v>
      </c>
    </row>
    <row r="119" spans="1:50" ht="15" thickBot="1" x14ac:dyDescent="0.35">
      <c r="A119" s="80">
        <f t="shared" si="41"/>
        <v>112</v>
      </c>
      <c r="B119" s="80"/>
      <c r="C119" s="232" t="str">
        <f>IFERROR(VLOOKUP(B119,'Importer Data Fields'!C:D,2,0),"")</f>
        <v/>
      </c>
      <c r="D119" s="70"/>
      <c r="E119" s="71"/>
      <c r="F119" s="72"/>
      <c r="G119" s="71"/>
      <c r="H119" s="71"/>
      <c r="I119" s="73" t="s">
        <v>252</v>
      </c>
      <c r="J119" s="70"/>
      <c r="K119" s="74">
        <f t="shared" si="86"/>
        <v>0</v>
      </c>
      <c r="L119" s="75"/>
      <c r="M119" s="70"/>
      <c r="N119" s="76">
        <f t="shared" si="89"/>
        <v>0</v>
      </c>
      <c r="O119" s="90"/>
      <c r="P119" s="74">
        <f t="shared" si="87"/>
        <v>0</v>
      </c>
      <c r="Q119" s="70"/>
      <c r="R119" s="76"/>
      <c r="S119" s="90"/>
      <c r="T119" s="74">
        <f t="shared" si="88"/>
        <v>0</v>
      </c>
      <c r="U119" s="86"/>
      <c r="V119" s="74">
        <f t="shared" si="84"/>
        <v>0</v>
      </c>
      <c r="W119" s="79">
        <f t="shared" si="85"/>
        <v>0</v>
      </c>
      <c r="X119" s="81"/>
      <c r="AA119" t="s">
        <v>283</v>
      </c>
      <c r="AB119" s="162">
        <v>1.2</v>
      </c>
      <c r="AC119">
        <f>AB114*1.15</f>
        <v>229.99999999999997</v>
      </c>
      <c r="AD119" s="162">
        <f t="shared" si="90"/>
        <v>275.99999999999994</v>
      </c>
    </row>
    <row r="120" spans="1:50" ht="15" thickBot="1" x14ac:dyDescent="0.35">
      <c r="A120" s="80">
        <f t="shared" si="41"/>
        <v>113</v>
      </c>
      <c r="B120" s="80" t="s">
        <v>284</v>
      </c>
      <c r="C120" s="232" t="str">
        <f>IFERROR(VLOOKUP(B120,'Importer Data Fields'!C:D,2,0),"")</f>
        <v>Carpeting</v>
      </c>
      <c r="D120" s="70"/>
      <c r="E120" s="71"/>
      <c r="F120" s="72"/>
      <c r="G120" s="71"/>
      <c r="H120" s="71"/>
      <c r="I120" s="73" t="s">
        <v>252</v>
      </c>
      <c r="J120" s="70"/>
      <c r="K120" s="74">
        <f t="shared" ref="K120" si="91">J120*H120</f>
        <v>0</v>
      </c>
      <c r="L120" s="75"/>
      <c r="M120" s="70"/>
      <c r="N120" s="76">
        <f t="shared" ref="N120" si="92">L120*M120*H120</f>
        <v>0</v>
      </c>
      <c r="O120" s="90"/>
      <c r="P120" s="74">
        <f t="shared" ref="P120" si="93">O120*N120</f>
        <v>0</v>
      </c>
      <c r="Q120" s="70"/>
      <c r="R120" s="76"/>
      <c r="S120" s="90"/>
      <c r="T120" s="74">
        <f t="shared" ref="T120" si="94">S120*Q120</f>
        <v>0</v>
      </c>
      <c r="U120" s="86"/>
      <c r="V120" s="74">
        <f t="shared" ref="V120" si="95">H120*U120</f>
        <v>0</v>
      </c>
      <c r="W120" s="79">
        <f t="shared" ref="W120" si="96">V120+T120+P120+K120</f>
        <v>0</v>
      </c>
      <c r="X120" s="81"/>
      <c r="AA120" t="s">
        <v>285</v>
      </c>
      <c r="AB120" s="162">
        <v>500</v>
      </c>
      <c r="AC120">
        <v>1</v>
      </c>
      <c r="AD120" s="162">
        <f t="shared" si="90"/>
        <v>500</v>
      </c>
    </row>
    <row r="121" spans="1:50" ht="15" thickBot="1" x14ac:dyDescent="0.35">
      <c r="A121" s="80">
        <f t="shared" si="41"/>
        <v>114</v>
      </c>
      <c r="B121" s="80"/>
      <c r="C121" s="232" t="str">
        <f>IFERROR(VLOOKUP(B121,'Importer Data Fields'!C:D,2,0),"")</f>
        <v/>
      </c>
      <c r="D121" s="70"/>
      <c r="E121" s="71"/>
      <c r="F121" s="72"/>
      <c r="G121" s="70"/>
      <c r="H121" s="71"/>
      <c r="I121" s="73" t="s">
        <v>238</v>
      </c>
      <c r="J121" s="70"/>
      <c r="K121" s="74">
        <f t="shared" ref="K121:K122" si="97">J121*H121</f>
        <v>0</v>
      </c>
      <c r="L121" s="75"/>
      <c r="M121" s="70"/>
      <c r="N121" s="76">
        <f t="shared" ref="N121:N122" si="98">L121*M121*H121</f>
        <v>0</v>
      </c>
      <c r="O121" s="90"/>
      <c r="P121" s="74">
        <f t="shared" ref="P121:P122" si="99">O121*N121</f>
        <v>0</v>
      </c>
      <c r="Q121" s="70"/>
      <c r="R121" s="76"/>
      <c r="S121" s="90"/>
      <c r="T121" s="74">
        <f t="shared" ref="T121:T122" si="100">S121*Q121</f>
        <v>0</v>
      </c>
      <c r="U121" s="86"/>
      <c r="V121" s="74">
        <f t="shared" ref="V121:V122" si="101">H121*U121</f>
        <v>0</v>
      </c>
      <c r="W121" s="79">
        <f t="shared" ref="W121:W122" si="102">V121+T121+P121+K121</f>
        <v>0</v>
      </c>
      <c r="X121" s="80"/>
      <c r="AA121" t="s">
        <v>286</v>
      </c>
      <c r="AB121" s="162">
        <v>0.15</v>
      </c>
      <c r="AC121">
        <f>AC117</f>
        <v>5280</v>
      </c>
      <c r="AD121" s="162">
        <f t="shared" si="90"/>
        <v>792</v>
      </c>
    </row>
    <row r="122" spans="1:50" ht="15" thickBot="1" x14ac:dyDescent="0.35">
      <c r="A122" s="80">
        <f t="shared" si="41"/>
        <v>115</v>
      </c>
      <c r="B122" s="80" t="s">
        <v>287</v>
      </c>
      <c r="C122" s="232" t="str">
        <f>IFERROR(VLOOKUP(B122,'Importer Data Fields'!C:D,2,0),"")</f>
        <v>Floor Prep</v>
      </c>
      <c r="D122" s="70"/>
      <c r="E122" s="71"/>
      <c r="F122" s="72"/>
      <c r="G122" s="70"/>
      <c r="H122" s="71"/>
      <c r="I122" s="73" t="s">
        <v>252</v>
      </c>
      <c r="J122" s="70"/>
      <c r="K122" s="74">
        <f t="shared" si="97"/>
        <v>0</v>
      </c>
      <c r="L122" s="75"/>
      <c r="M122" s="70"/>
      <c r="N122" s="76">
        <f t="shared" si="98"/>
        <v>0</v>
      </c>
      <c r="O122" s="90"/>
      <c r="P122" s="74">
        <f t="shared" si="99"/>
        <v>0</v>
      </c>
      <c r="Q122" s="70"/>
      <c r="R122" s="76"/>
      <c r="S122" s="90"/>
      <c r="T122" s="74">
        <f t="shared" si="100"/>
        <v>0</v>
      </c>
      <c r="U122" s="86"/>
      <c r="V122" s="74">
        <f t="shared" si="101"/>
        <v>0</v>
      </c>
      <c r="W122" s="79">
        <f t="shared" si="102"/>
        <v>0</v>
      </c>
      <c r="X122" s="80"/>
      <c r="AA122" t="s">
        <v>288</v>
      </c>
      <c r="AB122" s="162"/>
      <c r="AC122">
        <f>(AB114)*AB113*1.1</f>
        <v>2640</v>
      </c>
      <c r="AD122" s="162">
        <f t="shared" si="90"/>
        <v>0</v>
      </c>
    </row>
    <row r="123" spans="1:50" ht="15" thickBot="1" x14ac:dyDescent="0.35">
      <c r="A123" s="80">
        <f t="shared" si="41"/>
        <v>116</v>
      </c>
      <c r="B123" s="80"/>
      <c r="C123" s="232" t="str">
        <f>IFERROR(VLOOKUP(B123,'Importer Data Fields'!C:D,2,0),"")</f>
        <v/>
      </c>
      <c r="D123" s="70"/>
      <c r="E123" s="71"/>
      <c r="F123" s="72"/>
      <c r="G123" s="70"/>
      <c r="H123" s="71"/>
      <c r="I123" s="73" t="s">
        <v>108</v>
      </c>
      <c r="J123" s="70"/>
      <c r="K123" s="74">
        <f t="shared" si="86"/>
        <v>0</v>
      </c>
      <c r="L123" s="75"/>
      <c r="M123" s="70"/>
      <c r="N123" s="76">
        <f t="shared" si="89"/>
        <v>0</v>
      </c>
      <c r="O123" s="90"/>
      <c r="P123" s="74">
        <f t="shared" si="87"/>
        <v>0</v>
      </c>
      <c r="Q123" s="70"/>
      <c r="R123" s="76"/>
      <c r="S123" s="90"/>
      <c r="T123" s="74">
        <f t="shared" si="88"/>
        <v>0</v>
      </c>
      <c r="U123" s="86"/>
      <c r="V123" s="74">
        <f t="shared" si="84"/>
        <v>0</v>
      </c>
      <c r="W123" s="79">
        <f t="shared" si="85"/>
        <v>0</v>
      </c>
      <c r="X123" s="81"/>
      <c r="AA123" t="s">
        <v>289</v>
      </c>
      <c r="AB123" s="162">
        <v>15</v>
      </c>
      <c r="AC123">
        <f>AB114*1.15</f>
        <v>229.99999999999997</v>
      </c>
      <c r="AD123" s="162">
        <f>AB123*AC123</f>
        <v>3449.9999999999995</v>
      </c>
    </row>
    <row r="124" spans="1:50" ht="15" thickBot="1" x14ac:dyDescent="0.35">
      <c r="A124" s="80">
        <f>A123+1</f>
        <v>117</v>
      </c>
      <c r="B124" s="80"/>
      <c r="C124" s="232" t="str">
        <f>IFERROR(VLOOKUP(B124,'Importer Data Fields'!C:D,2,0),"")</f>
        <v/>
      </c>
      <c r="D124" s="70"/>
      <c r="E124" s="71"/>
      <c r="F124" s="72"/>
      <c r="G124" s="70"/>
      <c r="H124" s="71"/>
      <c r="I124" s="73" t="s">
        <v>238</v>
      </c>
      <c r="J124" s="70"/>
      <c r="K124" s="74">
        <f t="shared" si="86"/>
        <v>0</v>
      </c>
      <c r="L124" s="75"/>
      <c r="M124" s="70"/>
      <c r="N124" s="76">
        <f t="shared" si="89"/>
        <v>0</v>
      </c>
      <c r="O124" s="90"/>
      <c r="P124" s="74">
        <f t="shared" si="87"/>
        <v>0</v>
      </c>
      <c r="Q124" s="70"/>
      <c r="R124" s="76"/>
      <c r="S124" s="90"/>
      <c r="T124" s="74">
        <f t="shared" si="88"/>
        <v>0</v>
      </c>
      <c r="U124" s="86"/>
      <c r="V124" s="74">
        <f t="shared" si="84"/>
        <v>0</v>
      </c>
      <c r="W124" s="79">
        <f t="shared" si="85"/>
        <v>0</v>
      </c>
      <c r="X124" s="81"/>
    </row>
    <row r="125" spans="1:50" ht="15" thickBot="1" x14ac:dyDescent="0.35">
      <c r="A125" s="80">
        <f t="shared" si="41"/>
        <v>118</v>
      </c>
      <c r="B125" s="80" t="s">
        <v>290</v>
      </c>
      <c r="C125" s="232" t="str">
        <f>IFERROR(VLOOKUP(B125,'Importer Data Fields'!C:D,2,0),"")</f>
        <v>Exterior Painting</v>
      </c>
      <c r="D125" s="70"/>
      <c r="E125" s="71"/>
      <c r="F125" s="72"/>
      <c r="G125" s="70"/>
      <c r="H125" s="71"/>
      <c r="I125" s="73" t="s">
        <v>252</v>
      </c>
      <c r="J125" s="70"/>
      <c r="K125" s="74">
        <f t="shared" si="86"/>
        <v>0</v>
      </c>
      <c r="L125" s="75"/>
      <c r="M125" s="70"/>
      <c r="N125" s="76">
        <f t="shared" si="89"/>
        <v>0</v>
      </c>
      <c r="O125" s="90"/>
      <c r="P125" s="74">
        <f t="shared" si="87"/>
        <v>0</v>
      </c>
      <c r="Q125" s="70"/>
      <c r="R125" s="76"/>
      <c r="S125" s="90"/>
      <c r="T125" s="74">
        <f t="shared" si="88"/>
        <v>0</v>
      </c>
      <c r="U125" s="86"/>
      <c r="V125" s="74">
        <f t="shared" si="84"/>
        <v>0</v>
      </c>
      <c r="W125" s="79">
        <f t="shared" si="85"/>
        <v>0</v>
      </c>
      <c r="X125" s="80"/>
    </row>
    <row r="126" spans="1:50" ht="15" thickBot="1" x14ac:dyDescent="0.35">
      <c r="A126" s="80">
        <f t="shared" si="41"/>
        <v>119</v>
      </c>
      <c r="B126" s="80"/>
      <c r="C126" s="232" t="str">
        <f>IFERROR(VLOOKUP(B126,'Importer Data Fields'!C:D,2,0),"")</f>
        <v/>
      </c>
      <c r="D126" s="70"/>
      <c r="E126" s="71"/>
      <c r="F126" s="72"/>
      <c r="G126" s="70"/>
      <c r="H126" s="71"/>
      <c r="I126" s="73" t="s">
        <v>256</v>
      </c>
      <c r="J126" s="70"/>
      <c r="K126" s="74">
        <f t="shared" si="86"/>
        <v>0</v>
      </c>
      <c r="L126" s="75"/>
      <c r="M126" s="70"/>
      <c r="N126" s="76">
        <f t="shared" si="89"/>
        <v>0</v>
      </c>
      <c r="O126" s="90"/>
      <c r="P126" s="74">
        <f t="shared" si="87"/>
        <v>0</v>
      </c>
      <c r="Q126" s="70"/>
      <c r="R126" s="76"/>
      <c r="S126" s="90"/>
      <c r="T126" s="74">
        <f t="shared" si="88"/>
        <v>0</v>
      </c>
      <c r="U126" s="86"/>
      <c r="V126" s="74">
        <f t="shared" si="84"/>
        <v>0</v>
      </c>
      <c r="W126" s="79">
        <f t="shared" si="85"/>
        <v>0</v>
      </c>
      <c r="X126" s="80"/>
    </row>
    <row r="127" spans="1:50" ht="15" thickBot="1" x14ac:dyDescent="0.35">
      <c r="A127" s="80">
        <f>A126+1</f>
        <v>120</v>
      </c>
      <c r="B127" s="80" t="s">
        <v>291</v>
      </c>
      <c r="C127" s="232" t="str">
        <f>IFERROR(VLOOKUP(B127,'Importer Data Fields'!C:D,2,0),"")</f>
        <v>Acoustical Ceilings</v>
      </c>
      <c r="D127" s="70"/>
      <c r="E127" s="71"/>
      <c r="F127" s="72"/>
      <c r="G127" s="70"/>
      <c r="H127" s="71"/>
      <c r="I127" s="73" t="s">
        <v>252</v>
      </c>
      <c r="J127" s="70"/>
      <c r="K127" s="74">
        <f t="shared" si="86"/>
        <v>0</v>
      </c>
      <c r="L127" s="75"/>
      <c r="M127" s="70"/>
      <c r="N127" s="76">
        <f t="shared" si="89"/>
        <v>0</v>
      </c>
      <c r="O127" s="90"/>
      <c r="P127" s="74">
        <f t="shared" si="87"/>
        <v>0</v>
      </c>
      <c r="Q127" s="70"/>
      <c r="R127" s="76"/>
      <c r="S127" s="90"/>
      <c r="T127" s="74">
        <f t="shared" si="88"/>
        <v>0</v>
      </c>
      <c r="U127" s="86"/>
      <c r="V127" s="74">
        <f t="shared" si="84"/>
        <v>0</v>
      </c>
      <c r="W127" s="79">
        <f t="shared" si="85"/>
        <v>0</v>
      </c>
      <c r="X127" s="81"/>
    </row>
    <row r="128" spans="1:50" ht="15" thickBot="1" x14ac:dyDescent="0.35">
      <c r="A128" s="80">
        <f>A127+1</f>
        <v>121</v>
      </c>
      <c r="B128" s="80" t="s">
        <v>280</v>
      </c>
      <c r="C128" s="232" t="str">
        <f>IFERROR(VLOOKUP(B128,'Importer Data Fields'!C:D,2,0),"")</f>
        <v>Non-Structural Metal Framing</v>
      </c>
      <c r="D128" s="70"/>
      <c r="E128" s="71"/>
      <c r="F128" s="72"/>
      <c r="G128" s="70"/>
      <c r="H128" s="71"/>
      <c r="I128" s="73" t="s">
        <v>238</v>
      </c>
      <c r="J128" s="70"/>
      <c r="K128" s="74">
        <f t="shared" si="86"/>
        <v>0</v>
      </c>
      <c r="L128" s="75"/>
      <c r="M128" s="70"/>
      <c r="N128" s="76">
        <f t="shared" si="89"/>
        <v>0</v>
      </c>
      <c r="O128" s="90"/>
      <c r="P128" s="74">
        <f t="shared" si="87"/>
        <v>0</v>
      </c>
      <c r="Q128" s="70"/>
      <c r="R128" s="76"/>
      <c r="S128" s="90"/>
      <c r="T128" s="74">
        <f t="shared" si="88"/>
        <v>0</v>
      </c>
      <c r="U128" s="86"/>
      <c r="V128" s="74">
        <f t="shared" si="84"/>
        <v>0</v>
      </c>
      <c r="W128" s="79">
        <f t="shared" si="85"/>
        <v>0</v>
      </c>
      <c r="X128" s="80"/>
    </row>
    <row r="129" spans="1:49" ht="15" thickBot="1" x14ac:dyDescent="0.35">
      <c r="A129" s="80">
        <f t="shared" si="41"/>
        <v>122</v>
      </c>
      <c r="B129" s="80"/>
      <c r="C129" s="232" t="str">
        <f>IFERROR(VLOOKUP(B129,'Importer Data Fields'!C:D,2,0),"")</f>
        <v/>
      </c>
      <c r="D129" s="70"/>
      <c r="E129" s="71"/>
      <c r="F129" s="72"/>
      <c r="G129" s="70"/>
      <c r="H129" s="71"/>
      <c r="I129" s="73" t="s">
        <v>252</v>
      </c>
      <c r="J129" s="70"/>
      <c r="K129" s="74">
        <f t="shared" si="86"/>
        <v>0</v>
      </c>
      <c r="L129" s="75"/>
      <c r="M129" s="70"/>
      <c r="N129" s="76">
        <f t="shared" ref="N129:N134" si="103">ROUND(L129*M129*H129,0)</f>
        <v>0</v>
      </c>
      <c r="O129" s="90"/>
      <c r="P129" s="74">
        <f t="shared" si="87"/>
        <v>0</v>
      </c>
      <c r="Q129" s="70"/>
      <c r="R129" s="76"/>
      <c r="S129" s="90"/>
      <c r="T129" s="74">
        <f t="shared" si="88"/>
        <v>0</v>
      </c>
      <c r="U129" s="86"/>
      <c r="V129" s="74">
        <f t="shared" si="84"/>
        <v>0</v>
      </c>
      <c r="W129" s="79">
        <f t="shared" si="85"/>
        <v>0</v>
      </c>
      <c r="X129" s="80"/>
      <c r="AC129" s="154"/>
      <c r="AD129" s="131"/>
      <c r="AE129" s="131"/>
      <c r="AF129" s="131"/>
      <c r="AG129" s="131"/>
      <c r="AH129" s="131"/>
      <c r="AI129" s="150"/>
      <c r="AJ129" s="131"/>
      <c r="AK129" s="84"/>
      <c r="AL129" s="151"/>
      <c r="AM129" s="131"/>
      <c r="AN129" s="152"/>
      <c r="AO129" s="153"/>
      <c r="AP129" s="84"/>
      <c r="AQ129" s="131"/>
      <c r="AR129" s="152"/>
      <c r="AS129" s="153"/>
      <c r="AT129" s="84"/>
      <c r="AU129" s="153"/>
      <c r="AV129" s="84"/>
      <c r="AW129" s="84"/>
    </row>
    <row r="130" spans="1:49" ht="15" thickBot="1" x14ac:dyDescent="0.35">
      <c r="A130" s="80">
        <f t="shared" si="41"/>
        <v>123</v>
      </c>
      <c r="B130" s="80"/>
      <c r="C130" s="232" t="str">
        <f>IFERROR(VLOOKUP(B130,'Importer Data Fields'!C:D,2,0),"")</f>
        <v/>
      </c>
      <c r="D130" s="70"/>
      <c r="E130" s="71"/>
      <c r="F130" s="72"/>
      <c r="G130" s="70"/>
      <c r="H130" s="71"/>
      <c r="I130" s="73" t="s">
        <v>238</v>
      </c>
      <c r="J130" s="70"/>
      <c r="K130" s="74">
        <f t="shared" si="86"/>
        <v>0</v>
      </c>
      <c r="L130" s="75"/>
      <c r="M130" s="70"/>
      <c r="N130" s="76">
        <f t="shared" si="103"/>
        <v>0</v>
      </c>
      <c r="O130" s="90"/>
      <c r="P130" s="74">
        <f t="shared" si="87"/>
        <v>0</v>
      </c>
      <c r="Q130" s="70"/>
      <c r="R130" s="76"/>
      <c r="S130" s="90"/>
      <c r="T130" s="74">
        <f t="shared" si="88"/>
        <v>0</v>
      </c>
      <c r="U130" s="86"/>
      <c r="V130" s="74">
        <f t="shared" si="84"/>
        <v>0</v>
      </c>
      <c r="W130" s="79">
        <f t="shared" si="85"/>
        <v>0</v>
      </c>
      <c r="X130" s="80"/>
      <c r="AC130" s="154"/>
      <c r="AD130" s="131"/>
      <c r="AE130" s="131"/>
      <c r="AF130" s="131"/>
      <c r="AG130" s="131"/>
      <c r="AH130" s="131"/>
      <c r="AI130" s="150"/>
      <c r="AJ130" s="131"/>
      <c r="AK130" s="84"/>
      <c r="AL130" s="151"/>
      <c r="AM130" s="131"/>
      <c r="AN130" s="152"/>
      <c r="AO130" s="153"/>
      <c r="AP130" s="84"/>
      <c r="AQ130" s="131"/>
      <c r="AR130" s="152"/>
      <c r="AS130" s="153"/>
      <c r="AT130" s="84"/>
      <c r="AU130" s="153"/>
      <c r="AV130" s="84"/>
      <c r="AW130" s="84"/>
    </row>
    <row r="131" spans="1:49" ht="15" thickBot="1" x14ac:dyDescent="0.35">
      <c r="A131" s="80">
        <f t="shared" si="41"/>
        <v>124</v>
      </c>
      <c r="B131" s="80"/>
      <c r="C131" s="232" t="str">
        <f>IFERROR(VLOOKUP(B131,'Importer Data Fields'!C:D,2,0),"")</f>
        <v/>
      </c>
      <c r="D131" s="70"/>
      <c r="E131" s="71"/>
      <c r="F131" s="72"/>
      <c r="G131" s="70"/>
      <c r="H131" s="71"/>
      <c r="I131" s="73" t="s">
        <v>238</v>
      </c>
      <c r="J131" s="70"/>
      <c r="K131" s="74">
        <f t="shared" si="86"/>
        <v>0</v>
      </c>
      <c r="L131" s="75"/>
      <c r="M131" s="70"/>
      <c r="N131" s="76">
        <f t="shared" si="103"/>
        <v>0</v>
      </c>
      <c r="O131" s="90"/>
      <c r="P131" s="74">
        <f t="shared" si="87"/>
        <v>0</v>
      </c>
      <c r="Q131" s="70"/>
      <c r="R131" s="76"/>
      <c r="S131" s="90"/>
      <c r="T131" s="74">
        <f t="shared" si="88"/>
        <v>0</v>
      </c>
      <c r="U131" s="86"/>
      <c r="V131" s="74">
        <f t="shared" si="84"/>
        <v>0</v>
      </c>
      <c r="W131" s="79">
        <f t="shared" si="85"/>
        <v>0</v>
      </c>
      <c r="X131" s="80"/>
      <c r="AC131" s="154"/>
      <c r="AD131" s="131"/>
      <c r="AE131" s="131"/>
      <c r="AF131" s="131"/>
      <c r="AG131" s="131"/>
      <c r="AH131" s="131"/>
      <c r="AI131" s="150"/>
      <c r="AJ131" s="131"/>
      <c r="AK131" s="84"/>
      <c r="AL131" s="151"/>
      <c r="AM131" s="131"/>
      <c r="AN131" s="152"/>
      <c r="AO131" s="153"/>
      <c r="AP131" s="84"/>
      <c r="AQ131" s="131"/>
      <c r="AR131" s="152"/>
      <c r="AS131" s="153"/>
      <c r="AT131" s="84"/>
      <c r="AU131" s="153"/>
      <c r="AV131" s="84"/>
      <c r="AW131" s="84"/>
    </row>
    <row r="132" spans="1:49" ht="15" thickBot="1" x14ac:dyDescent="0.35">
      <c r="A132" s="80">
        <f t="shared" si="41"/>
        <v>125</v>
      </c>
      <c r="B132" s="80"/>
      <c r="C132" s="232" t="str">
        <f>IFERROR(VLOOKUP(B132,'Importer Data Fields'!C:D,2,0),"")</f>
        <v/>
      </c>
      <c r="D132" s="70"/>
      <c r="E132" s="71"/>
      <c r="F132" s="72"/>
      <c r="G132" s="70"/>
      <c r="H132" s="71"/>
      <c r="I132" s="73" t="s">
        <v>238</v>
      </c>
      <c r="J132" s="70"/>
      <c r="K132" s="74">
        <f t="shared" si="86"/>
        <v>0</v>
      </c>
      <c r="L132" s="75"/>
      <c r="M132" s="70"/>
      <c r="N132" s="76">
        <f t="shared" si="103"/>
        <v>0</v>
      </c>
      <c r="O132" s="90"/>
      <c r="P132" s="74">
        <f t="shared" si="87"/>
        <v>0</v>
      </c>
      <c r="Q132" s="70"/>
      <c r="R132" s="76"/>
      <c r="S132" s="90"/>
      <c r="T132" s="74">
        <f t="shared" si="88"/>
        <v>0</v>
      </c>
      <c r="U132" s="86"/>
      <c r="V132" s="74">
        <f t="shared" si="84"/>
        <v>0</v>
      </c>
      <c r="W132" s="79">
        <f t="shared" si="85"/>
        <v>0</v>
      </c>
      <c r="X132" s="80"/>
      <c r="AC132" s="154"/>
      <c r="AD132" s="131"/>
      <c r="AE132" s="131"/>
      <c r="AF132" s="131"/>
      <c r="AG132" s="131"/>
      <c r="AH132" s="131"/>
      <c r="AI132" s="150"/>
      <c r="AJ132" s="131"/>
      <c r="AK132" s="84"/>
      <c r="AL132" s="151"/>
      <c r="AM132" s="131"/>
      <c r="AN132" s="152"/>
      <c r="AO132" s="153"/>
      <c r="AP132" s="84"/>
      <c r="AQ132" s="131"/>
      <c r="AR132" s="152"/>
      <c r="AS132" s="153"/>
      <c r="AT132" s="84"/>
      <c r="AU132" s="153"/>
      <c r="AV132" s="84"/>
      <c r="AW132" s="84"/>
    </row>
    <row r="133" spans="1:49" ht="15" thickBot="1" x14ac:dyDescent="0.35">
      <c r="A133" s="80">
        <f t="shared" si="41"/>
        <v>126</v>
      </c>
      <c r="B133" s="80" t="s">
        <v>292</v>
      </c>
      <c r="C133" s="232" t="str">
        <f>IFERROR(VLOOKUP(B133,'Importer Data Fields'!C:D,2,0),"")</f>
        <v>Interior Painting</v>
      </c>
      <c r="D133" s="70"/>
      <c r="E133" s="71"/>
      <c r="F133" s="72"/>
      <c r="G133" s="70"/>
      <c r="H133" s="71"/>
      <c r="I133" s="73" t="s">
        <v>252</v>
      </c>
      <c r="J133" s="70"/>
      <c r="K133" s="74">
        <f t="shared" si="86"/>
        <v>0</v>
      </c>
      <c r="L133" s="75"/>
      <c r="M133" s="70"/>
      <c r="N133" s="76">
        <f t="shared" si="103"/>
        <v>0</v>
      </c>
      <c r="O133" s="90"/>
      <c r="P133" s="74">
        <f t="shared" si="87"/>
        <v>0</v>
      </c>
      <c r="Q133" s="70"/>
      <c r="R133" s="76"/>
      <c r="S133" s="90"/>
      <c r="T133" s="74">
        <f t="shared" si="88"/>
        <v>0</v>
      </c>
      <c r="U133" s="86"/>
      <c r="V133" s="74">
        <f t="shared" si="84"/>
        <v>0</v>
      </c>
      <c r="W133" s="79">
        <f t="shared" si="85"/>
        <v>0</v>
      </c>
      <c r="X133" s="81"/>
      <c r="AC133" s="154"/>
      <c r="AD133" s="131"/>
      <c r="AE133" s="131"/>
      <c r="AF133" s="131"/>
      <c r="AG133" s="131"/>
      <c r="AH133" s="131"/>
      <c r="AI133" s="150"/>
      <c r="AJ133" s="131"/>
      <c r="AK133" s="84"/>
      <c r="AL133" s="151"/>
      <c r="AM133" s="131"/>
      <c r="AN133" s="152"/>
      <c r="AO133" s="153"/>
      <c r="AP133" s="84"/>
      <c r="AQ133" s="131"/>
      <c r="AR133" s="152"/>
      <c r="AS133" s="153"/>
      <c r="AT133" s="84"/>
      <c r="AU133" s="153"/>
      <c r="AV133" s="84"/>
      <c r="AW133" s="84"/>
    </row>
    <row r="134" spans="1:49" ht="15" thickBot="1" x14ac:dyDescent="0.35">
      <c r="A134" s="80">
        <f t="shared" si="41"/>
        <v>127</v>
      </c>
      <c r="B134" s="80"/>
      <c r="C134" s="232" t="str">
        <f>IFERROR(VLOOKUP(B134,'Importer Data Fields'!C:D,2,0),"")</f>
        <v/>
      </c>
      <c r="D134" s="70"/>
      <c r="E134" s="71"/>
      <c r="F134" s="72"/>
      <c r="G134" s="70"/>
      <c r="H134" s="71"/>
      <c r="I134" s="73"/>
      <c r="J134" s="70"/>
      <c r="K134" s="74">
        <f t="shared" si="86"/>
        <v>0</v>
      </c>
      <c r="L134" s="75"/>
      <c r="M134" s="70"/>
      <c r="N134" s="76">
        <f t="shared" si="103"/>
        <v>0</v>
      </c>
      <c r="O134" s="90"/>
      <c r="P134" s="74">
        <f t="shared" si="87"/>
        <v>0</v>
      </c>
      <c r="Q134" s="70"/>
      <c r="R134" s="76"/>
      <c r="S134" s="90"/>
      <c r="T134" s="74">
        <f t="shared" si="88"/>
        <v>0</v>
      </c>
      <c r="U134" s="86"/>
      <c r="V134" s="74">
        <f t="shared" si="84"/>
        <v>0</v>
      </c>
      <c r="W134" s="79">
        <f t="shared" si="85"/>
        <v>0</v>
      </c>
      <c r="X134" s="80"/>
      <c r="AC134" s="154"/>
      <c r="AD134" s="131"/>
      <c r="AE134" s="131"/>
      <c r="AF134" s="131"/>
      <c r="AG134" s="131"/>
      <c r="AH134" s="131"/>
      <c r="AI134" s="150"/>
      <c r="AJ134" s="131"/>
      <c r="AK134" s="84"/>
      <c r="AL134" s="151"/>
      <c r="AM134" s="131"/>
      <c r="AN134" s="152"/>
      <c r="AO134" s="153"/>
      <c r="AP134" s="84"/>
      <c r="AQ134" s="131"/>
      <c r="AR134" s="152"/>
      <c r="AS134" s="153"/>
      <c r="AT134" s="84"/>
      <c r="AU134" s="153"/>
      <c r="AV134" s="84"/>
      <c r="AW134" s="84"/>
    </row>
    <row r="135" spans="1:49" ht="15" thickBot="1" x14ac:dyDescent="0.35">
      <c r="A135" s="80">
        <f t="shared" si="41"/>
        <v>128</v>
      </c>
      <c r="B135" s="80" t="s">
        <v>287</v>
      </c>
      <c r="C135" s="232" t="str">
        <f>IFERROR(VLOOKUP(B135,'Importer Data Fields'!C:D,2,0),"")</f>
        <v>Floor Prep</v>
      </c>
      <c r="D135" s="70"/>
      <c r="E135" s="71"/>
      <c r="F135" s="72"/>
      <c r="G135" s="70"/>
      <c r="H135" s="71"/>
      <c r="I135" s="73" t="s">
        <v>238</v>
      </c>
      <c r="J135" s="70"/>
      <c r="K135" s="74">
        <f t="shared" si="86"/>
        <v>0</v>
      </c>
      <c r="L135" s="75"/>
      <c r="M135" s="70"/>
      <c r="N135" s="76">
        <f t="shared" si="89"/>
        <v>0</v>
      </c>
      <c r="O135" s="90"/>
      <c r="P135" s="74">
        <f t="shared" si="87"/>
        <v>0</v>
      </c>
      <c r="Q135" s="70"/>
      <c r="R135" s="76"/>
      <c r="S135" s="90"/>
      <c r="T135" s="74">
        <f t="shared" si="88"/>
        <v>0</v>
      </c>
      <c r="U135" s="86"/>
      <c r="V135" s="74">
        <f t="shared" si="84"/>
        <v>0</v>
      </c>
      <c r="W135" s="79">
        <f t="shared" si="85"/>
        <v>0</v>
      </c>
      <c r="X135" s="80"/>
    </row>
    <row r="136" spans="1:49" ht="15" thickBot="1" x14ac:dyDescent="0.35">
      <c r="A136" s="80">
        <f t="shared" si="41"/>
        <v>129</v>
      </c>
      <c r="B136" s="231"/>
      <c r="C136" s="232" t="str">
        <f>IFERROR(VLOOKUP(B136,'Importer Data Fields'!C:D,2,0),"")</f>
        <v/>
      </c>
      <c r="D136" s="70"/>
      <c r="E136" s="71"/>
      <c r="F136" s="72"/>
      <c r="G136" s="70"/>
      <c r="H136" s="71"/>
      <c r="I136" s="73"/>
      <c r="J136" s="70"/>
      <c r="K136" s="74">
        <f t="shared" si="86"/>
        <v>0</v>
      </c>
      <c r="L136" s="75"/>
      <c r="M136" s="70"/>
      <c r="N136" s="76">
        <f t="shared" si="89"/>
        <v>0</v>
      </c>
      <c r="O136" s="90"/>
      <c r="P136" s="74">
        <f t="shared" si="87"/>
        <v>0</v>
      </c>
      <c r="Q136" s="70"/>
      <c r="R136" s="76"/>
      <c r="S136" s="90"/>
      <c r="T136" s="74">
        <f t="shared" si="88"/>
        <v>0</v>
      </c>
      <c r="U136" s="86"/>
      <c r="V136" s="74">
        <f t="shared" si="84"/>
        <v>0</v>
      </c>
      <c r="W136" s="79">
        <f t="shared" si="85"/>
        <v>0</v>
      </c>
      <c r="X136" s="80"/>
    </row>
    <row r="137" spans="1:49" ht="15" thickBot="1" x14ac:dyDescent="0.35">
      <c r="A137" s="165">
        <f t="shared" si="41"/>
        <v>130</v>
      </c>
      <c r="B137" s="314" t="s">
        <v>293</v>
      </c>
      <c r="C137" s="315"/>
      <c r="D137" s="167"/>
      <c r="E137" s="168"/>
      <c r="F137" s="169"/>
      <c r="G137" s="167"/>
      <c r="H137" s="168"/>
      <c r="I137" s="170"/>
      <c r="J137" s="167"/>
      <c r="K137" s="171">
        <f t="shared" si="86"/>
        <v>0</v>
      </c>
      <c r="L137" s="172"/>
      <c r="M137" s="167"/>
      <c r="N137" s="173">
        <f t="shared" si="89"/>
        <v>0</v>
      </c>
      <c r="O137" s="174"/>
      <c r="P137" s="171">
        <f t="shared" si="87"/>
        <v>0</v>
      </c>
      <c r="Q137" s="167"/>
      <c r="R137" s="173"/>
      <c r="S137" s="174"/>
      <c r="T137" s="171">
        <f t="shared" si="88"/>
        <v>0</v>
      </c>
      <c r="U137" s="175"/>
      <c r="V137" s="171">
        <f t="shared" si="84"/>
        <v>0</v>
      </c>
      <c r="W137" s="176">
        <f t="shared" si="85"/>
        <v>0</v>
      </c>
      <c r="X137" s="165"/>
      <c r="Y137" s="177">
        <f>SUM(W137:W146)</f>
        <v>0</v>
      </c>
    </row>
    <row r="138" spans="1:49" ht="15" thickBot="1" x14ac:dyDescent="0.35">
      <c r="A138" s="80">
        <f t="shared" si="41"/>
        <v>131</v>
      </c>
      <c r="B138" s="232" t="s">
        <v>294</v>
      </c>
      <c r="C138" s="232" t="str">
        <f>IFERROR(VLOOKUP(B138,'Importer Data Fields'!C:D,2,0),"")</f>
        <v>Signage</v>
      </c>
      <c r="D138" s="70"/>
      <c r="E138" s="71"/>
      <c r="F138" s="72"/>
      <c r="G138" s="70"/>
      <c r="H138" s="71"/>
      <c r="I138" s="73" t="s">
        <v>238</v>
      </c>
      <c r="J138" s="70"/>
      <c r="K138" s="74">
        <f t="shared" si="86"/>
        <v>0</v>
      </c>
      <c r="L138" s="75"/>
      <c r="M138" s="70"/>
      <c r="N138" s="76">
        <f t="shared" si="89"/>
        <v>0</v>
      </c>
      <c r="O138" s="77"/>
      <c r="P138" s="74">
        <f t="shared" si="87"/>
        <v>0</v>
      </c>
      <c r="Q138" s="70"/>
      <c r="R138" s="76"/>
      <c r="S138" s="77"/>
      <c r="T138" s="74">
        <f t="shared" si="88"/>
        <v>0</v>
      </c>
      <c r="U138" s="78"/>
      <c r="V138" s="74">
        <f t="shared" si="84"/>
        <v>0</v>
      </c>
      <c r="W138" s="79">
        <f t="shared" si="85"/>
        <v>0</v>
      </c>
      <c r="X138" s="80"/>
    </row>
    <row r="139" spans="1:49" ht="15" thickBot="1" x14ac:dyDescent="0.35">
      <c r="A139" s="80">
        <f t="shared" si="41"/>
        <v>132</v>
      </c>
      <c r="B139" s="80" t="s">
        <v>295</v>
      </c>
      <c r="C139" s="232" t="str">
        <f>IFERROR(VLOOKUP(B139,'Importer Data Fields'!C:D,2,0),"")</f>
        <v>Safety Specialties</v>
      </c>
      <c r="D139" s="70"/>
      <c r="E139" s="71"/>
      <c r="F139" s="72"/>
      <c r="G139" s="70"/>
      <c r="H139" s="71"/>
      <c r="I139" s="73" t="s">
        <v>238</v>
      </c>
      <c r="J139" s="70"/>
      <c r="K139" s="74">
        <f t="shared" si="86"/>
        <v>0</v>
      </c>
      <c r="L139" s="75"/>
      <c r="M139" s="70"/>
      <c r="N139" s="76">
        <f t="shared" si="89"/>
        <v>0</v>
      </c>
      <c r="O139" s="77"/>
      <c r="P139" s="74">
        <f t="shared" si="87"/>
        <v>0</v>
      </c>
      <c r="Q139" s="70"/>
      <c r="R139" s="76"/>
      <c r="S139" s="77"/>
      <c r="T139" s="74">
        <f t="shared" si="88"/>
        <v>0</v>
      </c>
      <c r="U139" s="78"/>
      <c r="V139" s="74">
        <f t="shared" si="84"/>
        <v>0</v>
      </c>
      <c r="W139" s="79">
        <f t="shared" si="85"/>
        <v>0</v>
      </c>
      <c r="X139" s="80"/>
    </row>
    <row r="140" spans="1:49" ht="15" thickBot="1" x14ac:dyDescent="0.35">
      <c r="A140" s="80">
        <f>A139+1</f>
        <v>133</v>
      </c>
      <c r="B140" s="80" t="s">
        <v>296</v>
      </c>
      <c r="C140" s="232" t="str">
        <f>IFERROR(VLOOKUP(B140,'Importer Data Fields'!C:D,2,0),"")</f>
        <v>Toilet Accessories</v>
      </c>
      <c r="D140" s="70"/>
      <c r="E140" s="71"/>
      <c r="F140" s="72"/>
      <c r="G140" s="70"/>
      <c r="H140" s="71"/>
      <c r="I140" s="73" t="s">
        <v>238</v>
      </c>
      <c r="J140" s="70"/>
      <c r="K140" s="74">
        <f t="shared" si="86"/>
        <v>0</v>
      </c>
      <c r="L140" s="75"/>
      <c r="M140" s="70"/>
      <c r="N140" s="76">
        <f t="shared" si="89"/>
        <v>0</v>
      </c>
      <c r="O140" s="77"/>
      <c r="P140" s="74">
        <f t="shared" si="87"/>
        <v>0</v>
      </c>
      <c r="Q140" s="70"/>
      <c r="R140" s="76"/>
      <c r="S140" s="77"/>
      <c r="T140" s="74">
        <f t="shared" si="88"/>
        <v>0</v>
      </c>
      <c r="U140" s="78"/>
      <c r="V140" s="74">
        <f t="shared" si="84"/>
        <v>0</v>
      </c>
      <c r="W140" s="79">
        <f t="shared" si="85"/>
        <v>0</v>
      </c>
      <c r="X140" s="80"/>
    </row>
    <row r="141" spans="1:49" ht="15" thickBot="1" x14ac:dyDescent="0.35">
      <c r="A141" s="80">
        <f t="shared" si="41"/>
        <v>134</v>
      </c>
      <c r="B141" s="80" t="s">
        <v>294</v>
      </c>
      <c r="C141" s="232" t="str">
        <f>IFERROR(VLOOKUP(B141,'Importer Data Fields'!C:D,2,0),"")</f>
        <v>Signage</v>
      </c>
      <c r="D141" s="70"/>
      <c r="E141" s="71"/>
      <c r="F141" s="72"/>
      <c r="G141" s="70"/>
      <c r="H141" s="71"/>
      <c r="I141" s="73" t="s">
        <v>238</v>
      </c>
      <c r="J141" s="70"/>
      <c r="K141" s="74">
        <f t="shared" si="86"/>
        <v>0</v>
      </c>
      <c r="L141" s="75"/>
      <c r="M141" s="70"/>
      <c r="N141" s="76">
        <f t="shared" si="89"/>
        <v>0</v>
      </c>
      <c r="O141" s="77"/>
      <c r="P141" s="74">
        <f t="shared" si="87"/>
        <v>0</v>
      </c>
      <c r="Q141" s="70"/>
      <c r="R141" s="76"/>
      <c r="S141" s="77"/>
      <c r="T141" s="74">
        <f t="shared" si="88"/>
        <v>0</v>
      </c>
      <c r="U141" s="78"/>
      <c r="V141" s="74">
        <f t="shared" si="84"/>
        <v>0</v>
      </c>
      <c r="W141" s="79">
        <f t="shared" si="85"/>
        <v>0</v>
      </c>
      <c r="X141" s="80"/>
    </row>
    <row r="142" spans="1:49" ht="15" thickBot="1" x14ac:dyDescent="0.35">
      <c r="A142" s="80">
        <f t="shared" si="41"/>
        <v>135</v>
      </c>
      <c r="B142" s="80"/>
      <c r="C142" s="232" t="str">
        <f>IFERROR(VLOOKUP(B142,'Importer Data Fields'!C:D,2,0),"")</f>
        <v/>
      </c>
      <c r="D142" s="70"/>
      <c r="E142" s="71"/>
      <c r="F142" s="72"/>
      <c r="G142" s="70"/>
      <c r="H142" s="71"/>
      <c r="I142" s="73" t="s">
        <v>256</v>
      </c>
      <c r="J142" s="70"/>
      <c r="K142" s="74">
        <f t="shared" si="86"/>
        <v>0</v>
      </c>
      <c r="L142" s="75"/>
      <c r="M142" s="70"/>
      <c r="N142" s="76">
        <f t="shared" si="89"/>
        <v>0</v>
      </c>
      <c r="O142" s="77"/>
      <c r="P142" s="74">
        <f t="shared" si="87"/>
        <v>0</v>
      </c>
      <c r="Q142" s="70"/>
      <c r="R142" s="76"/>
      <c r="S142" s="77"/>
      <c r="T142" s="74">
        <f t="shared" si="88"/>
        <v>0</v>
      </c>
      <c r="U142" s="78"/>
      <c r="V142" s="74">
        <f t="shared" si="84"/>
        <v>0</v>
      </c>
      <c r="W142" s="79">
        <f t="shared" si="85"/>
        <v>0</v>
      </c>
      <c r="X142" s="80"/>
    </row>
    <row r="143" spans="1:49" ht="15" thickBot="1" x14ac:dyDescent="0.35">
      <c r="A143" s="80">
        <f t="shared" si="41"/>
        <v>136</v>
      </c>
      <c r="B143" s="80" t="s">
        <v>297</v>
      </c>
      <c r="C143" s="232" t="str">
        <f>IFERROR(VLOOKUP(B143,'Importer Data Fields'!C:D,2,0),"")</f>
        <v>Knox Box</v>
      </c>
      <c r="D143" s="70"/>
      <c r="E143" s="71"/>
      <c r="F143" s="72"/>
      <c r="G143" s="70"/>
      <c r="H143" s="71"/>
      <c r="I143" s="73" t="s">
        <v>256</v>
      </c>
      <c r="J143" s="70"/>
      <c r="K143" s="74">
        <f t="shared" si="86"/>
        <v>0</v>
      </c>
      <c r="L143" s="75"/>
      <c r="M143" s="70"/>
      <c r="N143" s="76">
        <f t="shared" si="89"/>
        <v>0</v>
      </c>
      <c r="O143" s="77"/>
      <c r="P143" s="74">
        <f t="shared" si="87"/>
        <v>0</v>
      </c>
      <c r="Q143" s="70"/>
      <c r="R143" s="76"/>
      <c r="S143" s="77"/>
      <c r="T143" s="74">
        <f t="shared" si="88"/>
        <v>0</v>
      </c>
      <c r="U143" s="78"/>
      <c r="V143" s="74">
        <f t="shared" si="84"/>
        <v>0</v>
      </c>
      <c r="W143" s="79">
        <f t="shared" si="85"/>
        <v>0</v>
      </c>
      <c r="X143" s="80"/>
    </row>
    <row r="144" spans="1:49" ht="15" thickBot="1" x14ac:dyDescent="0.35">
      <c r="A144" s="80">
        <f t="shared" si="41"/>
        <v>137</v>
      </c>
      <c r="B144" s="80"/>
      <c r="C144" s="232" t="str">
        <f>IFERROR(VLOOKUP(B144,'Importer Data Fields'!C:D,2,0),"")</f>
        <v/>
      </c>
      <c r="D144" s="70"/>
      <c r="E144" s="71"/>
      <c r="F144" s="72"/>
      <c r="G144" s="70"/>
      <c r="H144" s="71"/>
      <c r="I144" s="73"/>
      <c r="J144" s="70"/>
      <c r="K144" s="74">
        <f t="shared" si="86"/>
        <v>0</v>
      </c>
      <c r="L144" s="75"/>
      <c r="M144" s="70"/>
      <c r="N144" s="76">
        <f t="shared" si="89"/>
        <v>0</v>
      </c>
      <c r="O144" s="77"/>
      <c r="P144" s="74">
        <f t="shared" si="87"/>
        <v>0</v>
      </c>
      <c r="Q144" s="70"/>
      <c r="R144" s="76"/>
      <c r="S144" s="77"/>
      <c r="T144" s="74">
        <f t="shared" si="88"/>
        <v>0</v>
      </c>
      <c r="U144" s="78"/>
      <c r="V144" s="74">
        <f t="shared" si="84"/>
        <v>0</v>
      </c>
      <c r="W144" s="79">
        <f t="shared" si="85"/>
        <v>0</v>
      </c>
      <c r="X144" s="80"/>
    </row>
    <row r="145" spans="1:25" ht="15" thickBot="1" x14ac:dyDescent="0.35">
      <c r="A145" s="80">
        <f t="shared" si="41"/>
        <v>138</v>
      </c>
      <c r="B145" s="80"/>
      <c r="C145" s="232" t="str">
        <f>IFERROR(VLOOKUP(B145,'Importer Data Fields'!C:D,2,0),"")</f>
        <v/>
      </c>
      <c r="D145" s="70"/>
      <c r="E145" s="71"/>
      <c r="F145" s="72"/>
      <c r="G145" s="70"/>
      <c r="H145" s="71"/>
      <c r="I145" s="73"/>
      <c r="J145" s="70"/>
      <c r="K145" s="74">
        <f t="shared" si="86"/>
        <v>0</v>
      </c>
      <c r="L145" s="75"/>
      <c r="M145" s="70"/>
      <c r="N145" s="76">
        <f t="shared" si="89"/>
        <v>0</v>
      </c>
      <c r="O145" s="77"/>
      <c r="P145" s="74">
        <f t="shared" si="87"/>
        <v>0</v>
      </c>
      <c r="Q145" s="70"/>
      <c r="R145" s="76"/>
      <c r="S145" s="77"/>
      <c r="T145" s="74">
        <f t="shared" si="88"/>
        <v>0</v>
      </c>
      <c r="U145" s="78"/>
      <c r="V145" s="74">
        <f t="shared" si="84"/>
        <v>0</v>
      </c>
      <c r="W145" s="79">
        <f t="shared" si="85"/>
        <v>0</v>
      </c>
      <c r="X145" s="80"/>
    </row>
    <row r="146" spans="1:25" ht="15" thickBot="1" x14ac:dyDescent="0.35">
      <c r="A146" s="80">
        <f t="shared" si="41"/>
        <v>139</v>
      </c>
      <c r="B146" s="231"/>
      <c r="C146" s="232" t="str">
        <f>IFERROR(VLOOKUP(B146,'Importer Data Fields'!C:D,2,0),"")</f>
        <v/>
      </c>
      <c r="D146" s="70"/>
      <c r="E146" s="71"/>
      <c r="F146" s="72"/>
      <c r="G146" s="70"/>
      <c r="H146" s="71"/>
      <c r="I146" s="73"/>
      <c r="J146" s="70"/>
      <c r="K146" s="74">
        <f t="shared" si="86"/>
        <v>0</v>
      </c>
      <c r="L146" s="75"/>
      <c r="M146" s="70"/>
      <c r="N146" s="76">
        <f t="shared" si="89"/>
        <v>0</v>
      </c>
      <c r="O146" s="77"/>
      <c r="P146" s="74">
        <f t="shared" si="87"/>
        <v>0</v>
      </c>
      <c r="Q146" s="70"/>
      <c r="R146" s="76"/>
      <c r="S146" s="77"/>
      <c r="T146" s="74">
        <f t="shared" si="88"/>
        <v>0</v>
      </c>
      <c r="U146" s="78"/>
      <c r="V146" s="74">
        <f t="shared" si="84"/>
        <v>0</v>
      </c>
      <c r="W146" s="79">
        <f t="shared" si="85"/>
        <v>0</v>
      </c>
      <c r="X146" s="80"/>
    </row>
    <row r="147" spans="1:25" ht="15" thickBot="1" x14ac:dyDescent="0.35">
      <c r="A147" s="165">
        <f t="shared" ref="A147:A210" si="104">A146+1</f>
        <v>140</v>
      </c>
      <c r="B147" s="314" t="s">
        <v>298</v>
      </c>
      <c r="C147" s="315"/>
      <c r="D147" s="167"/>
      <c r="E147" s="168"/>
      <c r="F147" s="169"/>
      <c r="G147" s="167"/>
      <c r="H147" s="168"/>
      <c r="I147" s="170"/>
      <c r="J147" s="167"/>
      <c r="K147" s="171">
        <f t="shared" si="86"/>
        <v>0</v>
      </c>
      <c r="L147" s="172"/>
      <c r="M147" s="167"/>
      <c r="N147" s="173">
        <f t="shared" si="89"/>
        <v>0</v>
      </c>
      <c r="O147" s="174"/>
      <c r="P147" s="171">
        <f t="shared" si="87"/>
        <v>0</v>
      </c>
      <c r="Q147" s="167"/>
      <c r="R147" s="173"/>
      <c r="S147" s="174"/>
      <c r="T147" s="171">
        <f t="shared" si="88"/>
        <v>0</v>
      </c>
      <c r="U147" s="175"/>
      <c r="V147" s="171">
        <f t="shared" si="84"/>
        <v>0</v>
      </c>
      <c r="W147" s="176">
        <f t="shared" si="85"/>
        <v>0</v>
      </c>
      <c r="X147" s="165"/>
      <c r="Y147" s="179"/>
    </row>
    <row r="148" spans="1:25" ht="15" thickBot="1" x14ac:dyDescent="0.35">
      <c r="A148" s="80">
        <f t="shared" si="104"/>
        <v>141</v>
      </c>
      <c r="B148" s="232"/>
      <c r="C148" s="232" t="str">
        <f>IFERROR(VLOOKUP(B148,'Importer Data Fields'!C:D,2,0),"")</f>
        <v/>
      </c>
      <c r="D148" s="70"/>
      <c r="E148" s="71"/>
      <c r="F148" s="72"/>
      <c r="G148" s="70"/>
      <c r="H148" s="71"/>
      <c r="I148" s="73"/>
      <c r="J148" s="70"/>
      <c r="K148" s="74">
        <f t="shared" si="86"/>
        <v>0</v>
      </c>
      <c r="L148" s="75"/>
      <c r="M148" s="70"/>
      <c r="N148" s="76">
        <f t="shared" si="89"/>
        <v>0</v>
      </c>
      <c r="O148" s="77"/>
      <c r="P148" s="74">
        <f t="shared" si="87"/>
        <v>0</v>
      </c>
      <c r="Q148" s="70"/>
      <c r="R148" s="76"/>
      <c r="S148" s="77"/>
      <c r="T148" s="74">
        <f t="shared" si="88"/>
        <v>0</v>
      </c>
      <c r="U148" s="78"/>
      <c r="V148" s="74">
        <f t="shared" si="84"/>
        <v>0</v>
      </c>
      <c r="W148" s="79">
        <f t="shared" si="85"/>
        <v>0</v>
      </c>
      <c r="X148" s="80"/>
    </row>
    <row r="149" spans="1:25" ht="15" thickBot="1" x14ac:dyDescent="0.35">
      <c r="A149" s="80">
        <f t="shared" si="104"/>
        <v>142</v>
      </c>
      <c r="B149" s="80"/>
      <c r="C149" s="232" t="str">
        <f>IFERROR(VLOOKUP(B149,'Importer Data Fields'!C:D,2,0),"")</f>
        <v/>
      </c>
      <c r="D149" s="70"/>
      <c r="E149" s="71"/>
      <c r="F149" s="72"/>
      <c r="G149" s="70"/>
      <c r="H149" s="71"/>
      <c r="I149" s="73"/>
      <c r="J149" s="70"/>
      <c r="K149" s="74">
        <f t="shared" si="86"/>
        <v>0</v>
      </c>
      <c r="L149" s="75"/>
      <c r="M149" s="70"/>
      <c r="N149" s="76">
        <f t="shared" si="89"/>
        <v>0</v>
      </c>
      <c r="O149" s="77"/>
      <c r="P149" s="74">
        <f t="shared" si="87"/>
        <v>0</v>
      </c>
      <c r="Q149" s="70"/>
      <c r="R149" s="76"/>
      <c r="S149" s="77"/>
      <c r="T149" s="74">
        <f t="shared" si="88"/>
        <v>0</v>
      </c>
      <c r="U149" s="78"/>
      <c r="V149" s="74">
        <f t="shared" si="84"/>
        <v>0</v>
      </c>
      <c r="W149" s="79">
        <f t="shared" si="85"/>
        <v>0</v>
      </c>
      <c r="X149" s="80"/>
    </row>
    <row r="150" spans="1:25" ht="15" thickBot="1" x14ac:dyDescent="0.35">
      <c r="A150" s="80">
        <f t="shared" si="104"/>
        <v>143</v>
      </c>
      <c r="B150" s="80"/>
      <c r="C150" s="232" t="str">
        <f>IFERROR(VLOOKUP(B150,'Importer Data Fields'!C:D,2,0),"")</f>
        <v/>
      </c>
      <c r="D150" s="70"/>
      <c r="E150" s="71"/>
      <c r="F150" s="72"/>
      <c r="G150" s="70"/>
      <c r="H150" s="71"/>
      <c r="I150" s="73"/>
      <c r="J150" s="70"/>
      <c r="K150" s="74">
        <f t="shared" si="86"/>
        <v>0</v>
      </c>
      <c r="L150" s="75"/>
      <c r="M150" s="70"/>
      <c r="N150" s="76">
        <f t="shared" si="89"/>
        <v>0</v>
      </c>
      <c r="O150" s="77"/>
      <c r="P150" s="74">
        <f t="shared" si="87"/>
        <v>0</v>
      </c>
      <c r="Q150" s="70"/>
      <c r="R150" s="76"/>
      <c r="S150" s="77"/>
      <c r="T150" s="74">
        <f t="shared" si="88"/>
        <v>0</v>
      </c>
      <c r="U150" s="78"/>
      <c r="V150" s="74">
        <f t="shared" si="84"/>
        <v>0</v>
      </c>
      <c r="W150" s="79">
        <f t="shared" si="85"/>
        <v>0</v>
      </c>
      <c r="X150" s="80"/>
    </row>
    <row r="151" spans="1:25" ht="15" thickBot="1" x14ac:dyDescent="0.35">
      <c r="A151" s="80">
        <f t="shared" si="104"/>
        <v>144</v>
      </c>
      <c r="B151" s="80"/>
      <c r="C151" s="232" t="str">
        <f>IFERROR(VLOOKUP(B151,'Importer Data Fields'!C:D,2,0),"")</f>
        <v/>
      </c>
      <c r="D151" s="70"/>
      <c r="E151" s="71"/>
      <c r="F151" s="72"/>
      <c r="G151" s="70"/>
      <c r="H151" s="71"/>
      <c r="I151" s="73"/>
      <c r="J151" s="70"/>
      <c r="K151" s="74">
        <f t="shared" si="86"/>
        <v>0</v>
      </c>
      <c r="L151" s="75"/>
      <c r="M151" s="70"/>
      <c r="N151" s="76">
        <f t="shared" si="89"/>
        <v>0</v>
      </c>
      <c r="O151" s="77"/>
      <c r="P151" s="74">
        <f t="shared" si="87"/>
        <v>0</v>
      </c>
      <c r="Q151" s="70"/>
      <c r="R151" s="76"/>
      <c r="S151" s="77"/>
      <c r="T151" s="74">
        <f t="shared" si="88"/>
        <v>0</v>
      </c>
      <c r="U151" s="78"/>
      <c r="V151" s="74">
        <f t="shared" si="84"/>
        <v>0</v>
      </c>
      <c r="W151" s="79">
        <f t="shared" si="85"/>
        <v>0</v>
      </c>
      <c r="X151" s="80"/>
    </row>
    <row r="152" spans="1:25" ht="15" thickBot="1" x14ac:dyDescent="0.35">
      <c r="A152" s="80">
        <f t="shared" si="104"/>
        <v>145</v>
      </c>
      <c r="B152" s="80"/>
      <c r="C152" s="232" t="str">
        <f>IFERROR(VLOOKUP(B152,'Importer Data Fields'!C:D,2,0),"")</f>
        <v/>
      </c>
      <c r="D152" s="70"/>
      <c r="E152" s="71"/>
      <c r="F152" s="72"/>
      <c r="G152" s="70"/>
      <c r="H152" s="71"/>
      <c r="I152" s="73"/>
      <c r="J152" s="70"/>
      <c r="K152" s="74">
        <f t="shared" si="86"/>
        <v>0</v>
      </c>
      <c r="L152" s="75"/>
      <c r="M152" s="70"/>
      <c r="N152" s="76">
        <f t="shared" si="89"/>
        <v>0</v>
      </c>
      <c r="O152" s="77"/>
      <c r="P152" s="74">
        <f t="shared" si="87"/>
        <v>0</v>
      </c>
      <c r="Q152" s="70"/>
      <c r="R152" s="76"/>
      <c r="S152" s="77"/>
      <c r="T152" s="74">
        <f t="shared" si="88"/>
        <v>0</v>
      </c>
      <c r="U152" s="78"/>
      <c r="V152" s="74">
        <f t="shared" si="84"/>
        <v>0</v>
      </c>
      <c r="W152" s="79">
        <f t="shared" si="85"/>
        <v>0</v>
      </c>
      <c r="X152" s="80"/>
    </row>
    <row r="153" spans="1:25" ht="15" thickBot="1" x14ac:dyDescent="0.35">
      <c r="A153" s="80">
        <f t="shared" si="104"/>
        <v>146</v>
      </c>
      <c r="B153" s="80"/>
      <c r="C153" s="232" t="str">
        <f>IFERROR(VLOOKUP(B153,'Importer Data Fields'!C:D,2,0),"")</f>
        <v/>
      </c>
      <c r="D153" s="70"/>
      <c r="E153" s="71"/>
      <c r="F153" s="72"/>
      <c r="G153" s="70"/>
      <c r="H153" s="71"/>
      <c r="I153" s="73"/>
      <c r="J153" s="70"/>
      <c r="K153" s="74">
        <f t="shared" si="86"/>
        <v>0</v>
      </c>
      <c r="L153" s="75"/>
      <c r="M153" s="70"/>
      <c r="N153" s="76">
        <f t="shared" si="89"/>
        <v>0</v>
      </c>
      <c r="O153" s="77"/>
      <c r="P153" s="74">
        <f t="shared" si="87"/>
        <v>0</v>
      </c>
      <c r="Q153" s="70"/>
      <c r="R153" s="76"/>
      <c r="S153" s="77"/>
      <c r="T153" s="74">
        <f t="shared" si="88"/>
        <v>0</v>
      </c>
      <c r="U153" s="78"/>
      <c r="V153" s="74">
        <f t="shared" si="84"/>
        <v>0</v>
      </c>
      <c r="W153" s="79">
        <f t="shared" si="85"/>
        <v>0</v>
      </c>
      <c r="X153" s="80"/>
    </row>
    <row r="154" spans="1:25" ht="15" thickBot="1" x14ac:dyDescent="0.35">
      <c r="A154" s="80">
        <f t="shared" si="104"/>
        <v>147</v>
      </c>
      <c r="B154" s="80"/>
      <c r="C154" s="232" t="str">
        <f>IFERROR(VLOOKUP(B154,'Importer Data Fields'!C:D,2,0),"")</f>
        <v/>
      </c>
      <c r="D154" s="70"/>
      <c r="E154" s="71"/>
      <c r="F154" s="72"/>
      <c r="G154" s="70"/>
      <c r="H154" s="71"/>
      <c r="I154" s="73"/>
      <c r="J154" s="70"/>
      <c r="K154" s="74">
        <f t="shared" si="86"/>
        <v>0</v>
      </c>
      <c r="L154" s="75"/>
      <c r="M154" s="70"/>
      <c r="N154" s="76">
        <f t="shared" si="89"/>
        <v>0</v>
      </c>
      <c r="O154" s="77"/>
      <c r="P154" s="74">
        <f t="shared" si="87"/>
        <v>0</v>
      </c>
      <c r="Q154" s="70"/>
      <c r="R154" s="76"/>
      <c r="S154" s="77"/>
      <c r="T154" s="74">
        <f t="shared" si="88"/>
        <v>0</v>
      </c>
      <c r="U154" s="78"/>
      <c r="V154" s="74">
        <f t="shared" si="84"/>
        <v>0</v>
      </c>
      <c r="W154" s="79">
        <f t="shared" si="85"/>
        <v>0</v>
      </c>
      <c r="X154" s="80"/>
    </row>
    <row r="155" spans="1:25" ht="15" thickBot="1" x14ac:dyDescent="0.35">
      <c r="A155" s="80">
        <f t="shared" si="104"/>
        <v>148</v>
      </c>
      <c r="B155" s="231"/>
      <c r="C155" s="232" t="str">
        <f>IFERROR(VLOOKUP(B155,'Importer Data Fields'!C:D,2,0),"")</f>
        <v/>
      </c>
      <c r="D155" s="70"/>
      <c r="E155" s="71"/>
      <c r="F155" s="72"/>
      <c r="G155" s="70"/>
      <c r="H155" s="71"/>
      <c r="I155" s="73"/>
      <c r="J155" s="70"/>
      <c r="K155" s="74">
        <f t="shared" si="86"/>
        <v>0</v>
      </c>
      <c r="L155" s="75"/>
      <c r="M155" s="70"/>
      <c r="N155" s="76">
        <f t="shared" si="89"/>
        <v>0</v>
      </c>
      <c r="O155" s="77"/>
      <c r="P155" s="74">
        <f t="shared" si="87"/>
        <v>0</v>
      </c>
      <c r="Q155" s="70"/>
      <c r="R155" s="76"/>
      <c r="S155" s="77"/>
      <c r="T155" s="74">
        <f t="shared" si="88"/>
        <v>0</v>
      </c>
      <c r="U155" s="78"/>
      <c r="V155" s="74">
        <f t="shared" si="84"/>
        <v>0</v>
      </c>
      <c r="W155" s="79">
        <f t="shared" si="85"/>
        <v>0</v>
      </c>
      <c r="X155" s="80"/>
    </row>
    <row r="156" spans="1:25" ht="15" thickBot="1" x14ac:dyDescent="0.35">
      <c r="A156" s="165">
        <f t="shared" si="104"/>
        <v>149</v>
      </c>
      <c r="B156" s="314" t="s">
        <v>299</v>
      </c>
      <c r="C156" s="315"/>
      <c r="D156" s="167"/>
      <c r="E156" s="168"/>
      <c r="F156" s="169"/>
      <c r="G156" s="167"/>
      <c r="H156" s="168"/>
      <c r="I156" s="170"/>
      <c r="J156" s="167"/>
      <c r="K156" s="171">
        <f t="shared" si="86"/>
        <v>0</v>
      </c>
      <c r="L156" s="172"/>
      <c r="M156" s="167"/>
      <c r="N156" s="173">
        <f t="shared" si="89"/>
        <v>0</v>
      </c>
      <c r="O156" s="174"/>
      <c r="P156" s="171">
        <f t="shared" si="87"/>
        <v>0</v>
      </c>
      <c r="Q156" s="167"/>
      <c r="R156" s="173"/>
      <c r="S156" s="174"/>
      <c r="T156" s="171">
        <f t="shared" si="88"/>
        <v>0</v>
      </c>
      <c r="U156" s="175"/>
      <c r="V156" s="171">
        <f t="shared" si="84"/>
        <v>0</v>
      </c>
      <c r="W156" s="176">
        <f t="shared" si="85"/>
        <v>0</v>
      </c>
      <c r="X156" s="165"/>
      <c r="Y156" s="177">
        <f>SUM(W156:W161)</f>
        <v>0</v>
      </c>
    </row>
    <row r="157" spans="1:25" ht="15" thickBot="1" x14ac:dyDescent="0.35">
      <c r="A157" s="80">
        <f t="shared" si="104"/>
        <v>150</v>
      </c>
      <c r="B157" s="232" t="s">
        <v>300</v>
      </c>
      <c r="C157" s="232" t="str">
        <f>IFERROR(VLOOKUP(B157,'Importer Data Fields'!C:D,2,0),"")</f>
        <v>Casework</v>
      </c>
      <c r="D157" s="70"/>
      <c r="E157" s="71"/>
      <c r="F157" s="72"/>
      <c r="G157" s="70"/>
      <c r="H157" s="71"/>
      <c r="I157" s="73" t="s">
        <v>301</v>
      </c>
      <c r="J157" s="70"/>
      <c r="K157" s="74">
        <f t="shared" si="86"/>
        <v>0</v>
      </c>
      <c r="L157" s="75"/>
      <c r="M157" s="70"/>
      <c r="N157" s="76">
        <f t="shared" ref="N157" si="105">ROUND(L157*M157*H157,0)</f>
        <v>0</v>
      </c>
      <c r="O157" s="90"/>
      <c r="P157" s="74">
        <f t="shared" si="87"/>
        <v>0</v>
      </c>
      <c r="Q157" s="70"/>
      <c r="R157" s="76"/>
      <c r="S157" s="90"/>
      <c r="T157" s="74">
        <f t="shared" si="88"/>
        <v>0</v>
      </c>
      <c r="U157" s="86"/>
      <c r="V157" s="74">
        <f t="shared" si="84"/>
        <v>0</v>
      </c>
      <c r="W157" s="79">
        <f t="shared" si="85"/>
        <v>0</v>
      </c>
      <c r="X157" s="80"/>
    </row>
    <row r="158" spans="1:25" ht="15" thickBot="1" x14ac:dyDescent="0.35">
      <c r="A158" s="80">
        <f t="shared" si="104"/>
        <v>151</v>
      </c>
      <c r="B158" s="80" t="s">
        <v>302</v>
      </c>
      <c r="C158" s="232" t="str">
        <f>IFERROR(VLOOKUP(B158,'Importer Data Fields'!C:D,2,0),"")</f>
        <v>Office Furniture</v>
      </c>
      <c r="D158" s="70"/>
      <c r="E158" s="71"/>
      <c r="F158" s="72"/>
      <c r="G158" s="70"/>
      <c r="H158" s="71"/>
      <c r="I158" s="73" t="s">
        <v>301</v>
      </c>
      <c r="J158" s="70"/>
      <c r="K158" s="74">
        <f t="shared" si="86"/>
        <v>0</v>
      </c>
      <c r="L158" s="75"/>
      <c r="M158" s="70"/>
      <c r="N158" s="76">
        <f t="shared" si="89"/>
        <v>0</v>
      </c>
      <c r="O158" s="90"/>
      <c r="P158" s="74">
        <f t="shared" si="87"/>
        <v>0</v>
      </c>
      <c r="Q158" s="70"/>
      <c r="R158" s="76"/>
      <c r="S158" s="90"/>
      <c r="T158" s="74">
        <f t="shared" si="88"/>
        <v>0</v>
      </c>
      <c r="U158" s="86"/>
      <c r="V158" s="74">
        <f t="shared" si="84"/>
        <v>0</v>
      </c>
      <c r="W158" s="79">
        <f t="shared" si="85"/>
        <v>0</v>
      </c>
      <c r="X158" s="80"/>
    </row>
    <row r="159" spans="1:25" ht="15" thickBot="1" x14ac:dyDescent="0.35">
      <c r="A159" s="80">
        <f t="shared" si="104"/>
        <v>152</v>
      </c>
      <c r="B159" s="80" t="s">
        <v>302</v>
      </c>
      <c r="C159" s="232" t="str">
        <f>IFERROR(VLOOKUP(B159,'Importer Data Fields'!C:D,2,0),"")</f>
        <v>Office Furniture</v>
      </c>
      <c r="D159" s="70"/>
      <c r="E159" s="71"/>
      <c r="F159" s="72"/>
      <c r="G159" s="70"/>
      <c r="H159" s="71"/>
      <c r="I159" s="73" t="s">
        <v>238</v>
      </c>
      <c r="J159" s="70"/>
      <c r="K159" s="74">
        <f t="shared" si="86"/>
        <v>0</v>
      </c>
      <c r="L159" s="75"/>
      <c r="M159" s="70"/>
      <c r="N159" s="76">
        <f t="shared" si="89"/>
        <v>0</v>
      </c>
      <c r="O159" s="90"/>
      <c r="P159" s="74">
        <f t="shared" si="87"/>
        <v>0</v>
      </c>
      <c r="Q159" s="70"/>
      <c r="R159" s="76"/>
      <c r="S159" s="90"/>
      <c r="T159" s="74">
        <f t="shared" si="88"/>
        <v>0</v>
      </c>
      <c r="U159" s="86"/>
      <c r="V159" s="74">
        <f t="shared" si="84"/>
        <v>0</v>
      </c>
      <c r="W159" s="79">
        <f t="shared" si="85"/>
        <v>0</v>
      </c>
      <c r="X159" s="80"/>
    </row>
    <row r="160" spans="1:25" ht="15" thickBot="1" x14ac:dyDescent="0.35">
      <c r="A160" s="80">
        <f t="shared" si="104"/>
        <v>153</v>
      </c>
      <c r="B160" s="80" t="s">
        <v>302</v>
      </c>
      <c r="C160" s="232" t="str">
        <f>IFERROR(VLOOKUP(B160,'Importer Data Fields'!C:D,2,0),"")</f>
        <v>Office Furniture</v>
      </c>
      <c r="D160" s="70"/>
      <c r="E160" s="71"/>
      <c r="F160" s="72"/>
      <c r="G160" s="70"/>
      <c r="H160" s="71"/>
      <c r="I160" s="73" t="s">
        <v>238</v>
      </c>
      <c r="J160" s="70"/>
      <c r="K160" s="74">
        <f t="shared" si="86"/>
        <v>0</v>
      </c>
      <c r="L160" s="75"/>
      <c r="M160" s="70"/>
      <c r="N160" s="76">
        <f t="shared" si="89"/>
        <v>0</v>
      </c>
      <c r="O160" s="90"/>
      <c r="P160" s="74">
        <f t="shared" si="87"/>
        <v>0</v>
      </c>
      <c r="Q160" s="70"/>
      <c r="R160" s="76"/>
      <c r="S160" s="90"/>
      <c r="T160" s="74">
        <f t="shared" si="88"/>
        <v>0</v>
      </c>
      <c r="U160" s="86"/>
      <c r="V160" s="74">
        <f t="shared" si="84"/>
        <v>0</v>
      </c>
      <c r="W160" s="79">
        <f t="shared" si="85"/>
        <v>0</v>
      </c>
      <c r="X160" s="80"/>
    </row>
    <row r="161" spans="1:25" ht="15" thickBot="1" x14ac:dyDescent="0.35">
      <c r="A161" s="80">
        <f t="shared" si="104"/>
        <v>154</v>
      </c>
      <c r="B161" s="80"/>
      <c r="C161" s="232" t="str">
        <f>IFERROR(VLOOKUP(B161,'Importer Data Fields'!C:D,2,0),"")</f>
        <v/>
      </c>
      <c r="D161" s="70"/>
      <c r="E161" s="71"/>
      <c r="F161" s="72"/>
      <c r="G161" s="70"/>
      <c r="H161" s="71"/>
      <c r="I161" s="73"/>
      <c r="J161" s="70"/>
      <c r="K161" s="74">
        <f t="shared" si="86"/>
        <v>0</v>
      </c>
      <c r="L161" s="75"/>
      <c r="M161" s="70"/>
      <c r="N161" s="76">
        <f t="shared" si="89"/>
        <v>0</v>
      </c>
      <c r="O161" s="90"/>
      <c r="P161" s="74">
        <f t="shared" si="87"/>
        <v>0</v>
      </c>
      <c r="Q161" s="70"/>
      <c r="R161" s="76"/>
      <c r="S161" s="90"/>
      <c r="T161" s="74">
        <f t="shared" si="88"/>
        <v>0</v>
      </c>
      <c r="U161" s="86"/>
      <c r="V161" s="74">
        <f t="shared" si="84"/>
        <v>0</v>
      </c>
      <c r="W161" s="79">
        <f t="shared" si="85"/>
        <v>0</v>
      </c>
      <c r="X161" s="80"/>
    </row>
    <row r="162" spans="1:25" ht="15" thickBot="1" x14ac:dyDescent="0.35">
      <c r="A162" s="80">
        <f t="shared" si="104"/>
        <v>155</v>
      </c>
      <c r="B162" s="80"/>
      <c r="C162" s="232" t="str">
        <f>IFERROR(VLOOKUP(B162,'Importer Data Fields'!C:D,2,0),"")</f>
        <v/>
      </c>
      <c r="D162" s="70"/>
      <c r="E162" s="71"/>
      <c r="F162" s="72"/>
      <c r="G162" s="70"/>
      <c r="H162" s="71"/>
      <c r="I162" s="73"/>
      <c r="J162" s="70"/>
      <c r="K162" s="74">
        <f t="shared" si="86"/>
        <v>0</v>
      </c>
      <c r="L162" s="75"/>
      <c r="M162" s="70"/>
      <c r="N162" s="76">
        <f t="shared" si="89"/>
        <v>0</v>
      </c>
      <c r="O162" s="90"/>
      <c r="P162" s="74">
        <f t="shared" si="87"/>
        <v>0</v>
      </c>
      <c r="Q162" s="70"/>
      <c r="R162" s="76"/>
      <c r="S162" s="90"/>
      <c r="T162" s="74">
        <f t="shared" si="88"/>
        <v>0</v>
      </c>
      <c r="U162" s="86"/>
      <c r="V162" s="74">
        <f t="shared" si="84"/>
        <v>0</v>
      </c>
      <c r="W162" s="79">
        <f t="shared" si="85"/>
        <v>0</v>
      </c>
      <c r="X162" s="80"/>
    </row>
    <row r="163" spans="1:25" ht="15" thickBot="1" x14ac:dyDescent="0.35">
      <c r="A163" s="80">
        <f t="shared" si="104"/>
        <v>156</v>
      </c>
      <c r="B163" s="80"/>
      <c r="C163" s="232" t="str">
        <f>IFERROR(VLOOKUP(B163,'Importer Data Fields'!C:D,2,0),"")</f>
        <v/>
      </c>
      <c r="D163" s="70"/>
      <c r="E163" s="71"/>
      <c r="F163" s="72"/>
      <c r="G163" s="70"/>
      <c r="H163" s="71"/>
      <c r="I163" s="73"/>
      <c r="J163" s="70"/>
      <c r="K163" s="74">
        <f t="shared" si="86"/>
        <v>0</v>
      </c>
      <c r="L163" s="75"/>
      <c r="M163" s="70"/>
      <c r="N163" s="76">
        <f t="shared" si="89"/>
        <v>0</v>
      </c>
      <c r="O163" s="90"/>
      <c r="P163" s="74">
        <f t="shared" si="87"/>
        <v>0</v>
      </c>
      <c r="Q163" s="70"/>
      <c r="R163" s="76"/>
      <c r="S163" s="90"/>
      <c r="T163" s="74">
        <f t="shared" si="88"/>
        <v>0</v>
      </c>
      <c r="U163" s="86"/>
      <c r="V163" s="74">
        <f t="shared" si="84"/>
        <v>0</v>
      </c>
      <c r="W163" s="79">
        <f t="shared" si="85"/>
        <v>0</v>
      </c>
      <c r="X163" s="80"/>
    </row>
    <row r="164" spans="1:25" ht="15" thickBot="1" x14ac:dyDescent="0.35">
      <c r="A164" s="80">
        <f t="shared" si="104"/>
        <v>157</v>
      </c>
      <c r="B164" s="80"/>
      <c r="C164" s="232" t="str">
        <f>IFERROR(VLOOKUP(B164,'Importer Data Fields'!C:D,2,0),"")</f>
        <v/>
      </c>
      <c r="D164" s="70"/>
      <c r="E164" s="71"/>
      <c r="F164" s="72"/>
      <c r="G164" s="70"/>
      <c r="H164" s="71"/>
      <c r="I164" s="73"/>
      <c r="J164" s="70"/>
      <c r="K164" s="74">
        <f t="shared" si="86"/>
        <v>0</v>
      </c>
      <c r="L164" s="75"/>
      <c r="M164" s="70"/>
      <c r="N164" s="76">
        <f t="shared" si="89"/>
        <v>0</v>
      </c>
      <c r="O164" s="90"/>
      <c r="P164" s="74">
        <f t="shared" si="87"/>
        <v>0</v>
      </c>
      <c r="Q164" s="70"/>
      <c r="R164" s="76"/>
      <c r="S164" s="90"/>
      <c r="T164" s="74">
        <f t="shared" si="88"/>
        <v>0</v>
      </c>
      <c r="U164" s="86"/>
      <c r="V164" s="74">
        <f t="shared" si="84"/>
        <v>0</v>
      </c>
      <c r="W164" s="79">
        <f t="shared" si="85"/>
        <v>0</v>
      </c>
      <c r="X164" s="80"/>
    </row>
    <row r="165" spans="1:25" ht="15" thickBot="1" x14ac:dyDescent="0.35">
      <c r="A165" s="80">
        <f t="shared" si="104"/>
        <v>158</v>
      </c>
      <c r="B165" s="231"/>
      <c r="C165" s="232" t="str">
        <f>IFERROR(VLOOKUP(B165,'Importer Data Fields'!C:D,2,0),"")</f>
        <v/>
      </c>
      <c r="D165" s="70"/>
      <c r="E165" s="71"/>
      <c r="F165" s="72"/>
      <c r="G165" s="70"/>
      <c r="H165" s="71"/>
      <c r="I165" s="73"/>
      <c r="J165" s="70"/>
      <c r="K165" s="74">
        <f t="shared" si="86"/>
        <v>0</v>
      </c>
      <c r="L165" s="75"/>
      <c r="M165" s="70"/>
      <c r="N165" s="76">
        <f t="shared" si="89"/>
        <v>0</v>
      </c>
      <c r="O165" s="90"/>
      <c r="P165" s="74">
        <f t="shared" si="87"/>
        <v>0</v>
      </c>
      <c r="Q165" s="70"/>
      <c r="R165" s="76"/>
      <c r="S165" s="90"/>
      <c r="T165" s="74">
        <f t="shared" si="88"/>
        <v>0</v>
      </c>
      <c r="U165" s="86"/>
      <c r="V165" s="74">
        <f t="shared" si="84"/>
        <v>0</v>
      </c>
      <c r="W165" s="79">
        <f t="shared" si="85"/>
        <v>0</v>
      </c>
      <c r="X165" s="80"/>
    </row>
    <row r="166" spans="1:25" ht="15" thickBot="1" x14ac:dyDescent="0.35">
      <c r="A166" s="165">
        <f t="shared" si="104"/>
        <v>159</v>
      </c>
      <c r="B166" s="314" t="s">
        <v>303</v>
      </c>
      <c r="C166" s="315"/>
      <c r="D166" s="167"/>
      <c r="E166" s="168"/>
      <c r="F166" s="169"/>
      <c r="G166" s="167"/>
      <c r="H166" s="168"/>
      <c r="I166" s="170"/>
      <c r="J166" s="167"/>
      <c r="K166" s="171">
        <f t="shared" si="86"/>
        <v>0</v>
      </c>
      <c r="L166" s="172"/>
      <c r="M166" s="167"/>
      <c r="N166" s="173">
        <f t="shared" si="89"/>
        <v>0</v>
      </c>
      <c r="O166" s="174"/>
      <c r="P166" s="171">
        <f t="shared" si="87"/>
        <v>0</v>
      </c>
      <c r="Q166" s="167"/>
      <c r="R166" s="173"/>
      <c r="S166" s="174"/>
      <c r="T166" s="171">
        <f t="shared" si="88"/>
        <v>0</v>
      </c>
      <c r="U166" s="175"/>
      <c r="V166" s="171">
        <f t="shared" si="84"/>
        <v>0</v>
      </c>
      <c r="W166" s="176">
        <f t="shared" si="85"/>
        <v>0</v>
      </c>
      <c r="X166" s="165"/>
      <c r="Y166" s="177">
        <f>SUM(W166:W170)</f>
        <v>0</v>
      </c>
    </row>
    <row r="167" spans="1:25" ht="15" thickBot="1" x14ac:dyDescent="0.35">
      <c r="A167" s="80">
        <f t="shared" si="104"/>
        <v>160</v>
      </c>
      <c r="B167" s="232" t="s">
        <v>304</v>
      </c>
      <c r="C167" s="232" t="str">
        <f>IFERROR(VLOOKUP(B167,'Importer Data Fields'!C:D,2,0),"")</f>
        <v>Fire-Suppression Standpipes</v>
      </c>
      <c r="D167" s="70"/>
      <c r="E167" s="71"/>
      <c r="F167" s="72"/>
      <c r="G167" s="70"/>
      <c r="H167" s="71"/>
      <c r="I167" s="73" t="s">
        <v>252</v>
      </c>
      <c r="J167" s="70"/>
      <c r="K167" s="74">
        <f t="shared" si="86"/>
        <v>0</v>
      </c>
      <c r="L167" s="75"/>
      <c r="M167" s="70"/>
      <c r="N167" s="76">
        <f t="shared" si="89"/>
        <v>0</v>
      </c>
      <c r="O167" s="90"/>
      <c r="P167" s="74">
        <f t="shared" si="87"/>
        <v>0</v>
      </c>
      <c r="Q167" s="70"/>
      <c r="R167" s="76"/>
      <c r="S167" s="90"/>
      <c r="T167" s="74">
        <f t="shared" si="88"/>
        <v>0</v>
      </c>
      <c r="U167" s="86"/>
      <c r="V167" s="74">
        <f t="shared" si="84"/>
        <v>0</v>
      </c>
      <c r="W167" s="79">
        <f t="shared" si="85"/>
        <v>0</v>
      </c>
      <c r="X167" s="80"/>
    </row>
    <row r="168" spans="1:25" ht="15" thickBot="1" x14ac:dyDescent="0.35">
      <c r="A168" s="80">
        <f t="shared" si="104"/>
        <v>161</v>
      </c>
      <c r="B168" s="80"/>
      <c r="C168" s="232" t="str">
        <f>IFERROR(VLOOKUP(B168,'Importer Data Fields'!C:D,2,0),"")</f>
        <v/>
      </c>
      <c r="D168" s="70"/>
      <c r="E168" s="71"/>
      <c r="F168" s="72"/>
      <c r="G168" s="70"/>
      <c r="H168" s="71"/>
      <c r="I168" s="73" t="s">
        <v>238</v>
      </c>
      <c r="J168" s="70"/>
      <c r="K168" s="74">
        <f t="shared" si="86"/>
        <v>0</v>
      </c>
      <c r="L168" s="75"/>
      <c r="M168" s="70"/>
      <c r="N168" s="76">
        <f t="shared" si="89"/>
        <v>0</v>
      </c>
      <c r="O168" s="90"/>
      <c r="P168" s="74">
        <f t="shared" si="87"/>
        <v>0</v>
      </c>
      <c r="Q168" s="70"/>
      <c r="R168" s="76"/>
      <c r="S168" s="90"/>
      <c r="T168" s="74">
        <f t="shared" si="88"/>
        <v>0</v>
      </c>
      <c r="U168" s="86"/>
      <c r="V168" s="74">
        <f t="shared" si="84"/>
        <v>0</v>
      </c>
      <c r="W168" s="79">
        <f t="shared" si="85"/>
        <v>0</v>
      </c>
      <c r="X168" s="80"/>
    </row>
    <row r="169" spans="1:25" ht="15" thickBot="1" x14ac:dyDescent="0.35">
      <c r="A169" s="80">
        <f t="shared" si="104"/>
        <v>162</v>
      </c>
      <c r="B169" s="80"/>
      <c r="C169" s="232" t="str">
        <f>IFERROR(VLOOKUP(B169,'Importer Data Fields'!C:D,2,0),"")</f>
        <v/>
      </c>
      <c r="D169" s="70"/>
      <c r="E169" s="71"/>
      <c r="F169" s="72"/>
      <c r="G169" s="70"/>
      <c r="H169" s="71"/>
      <c r="I169" s="73"/>
      <c r="J169" s="70"/>
      <c r="K169" s="74">
        <f t="shared" si="86"/>
        <v>0</v>
      </c>
      <c r="L169" s="75"/>
      <c r="M169" s="70"/>
      <c r="N169" s="76">
        <f t="shared" si="89"/>
        <v>0</v>
      </c>
      <c r="O169" s="90"/>
      <c r="P169" s="74">
        <f t="shared" si="87"/>
        <v>0</v>
      </c>
      <c r="Q169" s="70"/>
      <c r="R169" s="76"/>
      <c r="S169" s="90"/>
      <c r="T169" s="74">
        <f t="shared" si="88"/>
        <v>0</v>
      </c>
      <c r="U169" s="86"/>
      <c r="V169" s="74">
        <f t="shared" si="84"/>
        <v>0</v>
      </c>
      <c r="W169" s="79">
        <f t="shared" si="85"/>
        <v>0</v>
      </c>
      <c r="X169" s="80"/>
    </row>
    <row r="170" spans="1:25" ht="15" thickBot="1" x14ac:dyDescent="0.35">
      <c r="A170" s="80">
        <f t="shared" si="104"/>
        <v>163</v>
      </c>
      <c r="B170" s="231"/>
      <c r="C170" s="232" t="str">
        <f>IFERROR(VLOOKUP(B170,'Importer Data Fields'!C:D,2,0),"")</f>
        <v/>
      </c>
      <c r="D170" s="70"/>
      <c r="E170" s="71"/>
      <c r="F170" s="72"/>
      <c r="G170" s="70"/>
      <c r="H170" s="71"/>
      <c r="I170" s="73"/>
      <c r="J170" s="70"/>
      <c r="K170" s="74">
        <f t="shared" si="86"/>
        <v>0</v>
      </c>
      <c r="L170" s="75"/>
      <c r="M170" s="70"/>
      <c r="N170" s="76">
        <f t="shared" si="89"/>
        <v>0</v>
      </c>
      <c r="O170" s="90"/>
      <c r="P170" s="74">
        <f t="shared" si="87"/>
        <v>0</v>
      </c>
      <c r="Q170" s="70"/>
      <c r="R170" s="76"/>
      <c r="S170" s="90"/>
      <c r="T170" s="74">
        <f t="shared" si="88"/>
        <v>0</v>
      </c>
      <c r="U170" s="86"/>
      <c r="V170" s="74">
        <f t="shared" si="84"/>
        <v>0</v>
      </c>
      <c r="W170" s="79">
        <f t="shared" si="85"/>
        <v>0</v>
      </c>
      <c r="X170" s="80"/>
    </row>
    <row r="171" spans="1:25" ht="15" thickBot="1" x14ac:dyDescent="0.35">
      <c r="A171" s="165">
        <f t="shared" si="104"/>
        <v>164</v>
      </c>
      <c r="B171" s="314" t="s">
        <v>305</v>
      </c>
      <c r="C171" s="315"/>
      <c r="D171" s="167"/>
      <c r="E171" s="168"/>
      <c r="F171" s="169"/>
      <c r="G171" s="167"/>
      <c r="H171" s="168"/>
      <c r="I171" s="170" t="s">
        <v>238</v>
      </c>
      <c r="J171" s="167"/>
      <c r="K171" s="171">
        <f t="shared" si="86"/>
        <v>0</v>
      </c>
      <c r="L171" s="172"/>
      <c r="M171" s="167"/>
      <c r="N171" s="173">
        <f t="shared" si="89"/>
        <v>0</v>
      </c>
      <c r="O171" s="174"/>
      <c r="P171" s="171">
        <f t="shared" si="87"/>
        <v>0</v>
      </c>
      <c r="Q171" s="167"/>
      <c r="R171" s="173"/>
      <c r="S171" s="174"/>
      <c r="T171" s="171">
        <f t="shared" si="88"/>
        <v>0</v>
      </c>
      <c r="U171" s="175"/>
      <c r="V171" s="171">
        <f t="shared" si="84"/>
        <v>0</v>
      </c>
      <c r="W171" s="176">
        <f t="shared" si="85"/>
        <v>0</v>
      </c>
      <c r="X171" s="165"/>
      <c r="Y171" s="177">
        <f>SUM(W171:W189)</f>
        <v>0</v>
      </c>
    </row>
    <row r="172" spans="1:25" ht="15" thickBot="1" x14ac:dyDescent="0.35">
      <c r="A172" s="80">
        <f t="shared" si="104"/>
        <v>165</v>
      </c>
      <c r="B172" s="232"/>
      <c r="C172" s="232" t="str">
        <f>IFERROR(VLOOKUP(B172,'Importer Data Fields'!C:D,2,0),"")</f>
        <v/>
      </c>
      <c r="D172" s="70"/>
      <c r="E172" s="71"/>
      <c r="F172" s="72"/>
      <c r="G172" s="70"/>
      <c r="H172" s="71"/>
      <c r="I172" s="73" t="s">
        <v>256</v>
      </c>
      <c r="J172" s="70"/>
      <c r="K172" s="74">
        <f t="shared" si="86"/>
        <v>0</v>
      </c>
      <c r="L172" s="75"/>
      <c r="M172" s="70"/>
      <c r="N172" s="76">
        <f t="shared" si="89"/>
        <v>0</v>
      </c>
      <c r="O172" s="77"/>
      <c r="P172" s="74">
        <f t="shared" si="87"/>
        <v>0</v>
      </c>
      <c r="Q172" s="70"/>
      <c r="R172" s="76"/>
      <c r="S172" s="77"/>
      <c r="T172" s="74">
        <f t="shared" si="88"/>
        <v>0</v>
      </c>
      <c r="U172" s="78"/>
      <c r="V172" s="74">
        <f t="shared" si="84"/>
        <v>0</v>
      </c>
      <c r="W172" s="79">
        <f t="shared" si="85"/>
        <v>0</v>
      </c>
      <c r="X172" s="80"/>
    </row>
    <row r="173" spans="1:25" ht="15" thickBot="1" x14ac:dyDescent="0.35">
      <c r="A173" s="80">
        <f t="shared" si="104"/>
        <v>166</v>
      </c>
      <c r="B173" s="80" t="s">
        <v>306</v>
      </c>
      <c r="C173" s="232" t="str">
        <f>IFERROR(VLOOKUP(B173,'Importer Data Fields'!C:D,2,0),"")</f>
        <v>Plumbing Piping</v>
      </c>
      <c r="D173" s="70"/>
      <c r="E173" s="71"/>
      <c r="F173" s="72"/>
      <c r="G173" s="70"/>
      <c r="H173" s="71"/>
      <c r="I173" s="73" t="s">
        <v>238</v>
      </c>
      <c r="J173" s="70"/>
      <c r="K173" s="74">
        <f t="shared" si="86"/>
        <v>0</v>
      </c>
      <c r="L173" s="75"/>
      <c r="M173" s="70"/>
      <c r="N173" s="76">
        <f t="shared" si="89"/>
        <v>0</v>
      </c>
      <c r="O173" s="77"/>
      <c r="P173" s="74">
        <f t="shared" si="87"/>
        <v>0</v>
      </c>
      <c r="Q173" s="70"/>
      <c r="R173" s="76"/>
      <c r="S173" s="77"/>
      <c r="T173" s="74">
        <f t="shared" si="88"/>
        <v>0</v>
      </c>
      <c r="U173" s="78"/>
      <c r="V173" s="74">
        <f t="shared" si="84"/>
        <v>0</v>
      </c>
      <c r="W173" s="79">
        <f t="shared" si="85"/>
        <v>0</v>
      </c>
      <c r="X173" s="80"/>
    </row>
    <row r="174" spans="1:25" ht="15" thickBot="1" x14ac:dyDescent="0.35">
      <c r="A174" s="80">
        <f t="shared" si="104"/>
        <v>167</v>
      </c>
      <c r="B174" s="80" t="s">
        <v>306</v>
      </c>
      <c r="C174" s="232" t="str">
        <f>IFERROR(VLOOKUP(B174,'Importer Data Fields'!C:D,2,0),"")</f>
        <v>Plumbing Piping</v>
      </c>
      <c r="D174" s="70"/>
      <c r="E174" s="71"/>
      <c r="F174" s="72"/>
      <c r="G174" s="70"/>
      <c r="H174" s="71"/>
      <c r="I174" s="73" t="s">
        <v>238</v>
      </c>
      <c r="J174" s="70"/>
      <c r="K174" s="74">
        <f t="shared" si="86"/>
        <v>0</v>
      </c>
      <c r="L174" s="75"/>
      <c r="M174" s="70"/>
      <c r="N174" s="76">
        <f t="shared" si="89"/>
        <v>0</v>
      </c>
      <c r="O174" s="77"/>
      <c r="P174" s="74">
        <f t="shared" si="87"/>
        <v>0</v>
      </c>
      <c r="Q174" s="70"/>
      <c r="R174" s="76"/>
      <c r="S174" s="77"/>
      <c r="T174" s="74">
        <f t="shared" si="88"/>
        <v>0</v>
      </c>
      <c r="U174" s="78"/>
      <c r="V174" s="74">
        <f t="shared" si="84"/>
        <v>0</v>
      </c>
      <c r="W174" s="79">
        <f t="shared" si="85"/>
        <v>0</v>
      </c>
      <c r="X174" s="80"/>
    </row>
    <row r="175" spans="1:25" ht="15" thickBot="1" x14ac:dyDescent="0.35">
      <c r="A175" s="80">
        <f t="shared" si="104"/>
        <v>168</v>
      </c>
      <c r="B175" s="80" t="s">
        <v>306</v>
      </c>
      <c r="C175" s="232" t="str">
        <f>IFERROR(VLOOKUP(B175,'Importer Data Fields'!C:D,2,0),"")</f>
        <v>Plumbing Piping</v>
      </c>
      <c r="D175" s="70"/>
      <c r="E175" s="71"/>
      <c r="F175" s="72"/>
      <c r="G175" s="70"/>
      <c r="H175" s="71"/>
      <c r="I175" s="73"/>
      <c r="J175" s="70"/>
      <c r="K175" s="74">
        <f t="shared" si="86"/>
        <v>0</v>
      </c>
      <c r="L175" s="75"/>
      <c r="M175" s="70"/>
      <c r="N175" s="76">
        <f t="shared" si="89"/>
        <v>0</v>
      </c>
      <c r="O175" s="77"/>
      <c r="P175" s="74">
        <f t="shared" si="87"/>
        <v>0</v>
      </c>
      <c r="Q175" s="70"/>
      <c r="R175" s="76"/>
      <c r="S175" s="77"/>
      <c r="T175" s="74">
        <f t="shared" si="88"/>
        <v>0</v>
      </c>
      <c r="U175" s="78"/>
      <c r="V175" s="74">
        <f t="shared" si="84"/>
        <v>0</v>
      </c>
      <c r="W175" s="79">
        <f t="shared" si="85"/>
        <v>0</v>
      </c>
      <c r="X175" s="80"/>
    </row>
    <row r="176" spans="1:25" ht="15" thickBot="1" x14ac:dyDescent="0.35">
      <c r="A176" s="80">
        <f t="shared" si="104"/>
        <v>169</v>
      </c>
      <c r="B176" s="80" t="s">
        <v>306</v>
      </c>
      <c r="C176" s="232" t="str">
        <f>IFERROR(VLOOKUP(B176,'Importer Data Fields'!C:D,2,0),"")</f>
        <v>Plumbing Piping</v>
      </c>
      <c r="D176" s="70"/>
      <c r="E176" s="71"/>
      <c r="F176" s="72"/>
      <c r="G176" s="70"/>
      <c r="H176" s="71"/>
      <c r="I176" s="73"/>
      <c r="J176" s="70"/>
      <c r="K176" s="74">
        <f t="shared" si="86"/>
        <v>0</v>
      </c>
      <c r="L176" s="75"/>
      <c r="M176" s="70"/>
      <c r="N176" s="76">
        <f t="shared" si="89"/>
        <v>0</v>
      </c>
      <c r="O176" s="77"/>
      <c r="P176" s="74">
        <f t="shared" si="87"/>
        <v>0</v>
      </c>
      <c r="Q176" s="70"/>
      <c r="R176" s="76"/>
      <c r="S176" s="77"/>
      <c r="T176" s="74">
        <f t="shared" si="88"/>
        <v>0</v>
      </c>
      <c r="U176" s="78"/>
      <c r="V176" s="74">
        <f t="shared" si="84"/>
        <v>0</v>
      </c>
      <c r="W176" s="79">
        <f t="shared" si="85"/>
        <v>0</v>
      </c>
      <c r="X176" s="80"/>
    </row>
    <row r="177" spans="1:25" ht="15" thickBot="1" x14ac:dyDescent="0.35">
      <c r="A177" s="80">
        <f t="shared" si="104"/>
        <v>170</v>
      </c>
      <c r="B177" s="80"/>
      <c r="C177" s="232" t="str">
        <f>IFERROR(VLOOKUP(B177,'Importer Data Fields'!C:D,2,0),"")</f>
        <v/>
      </c>
      <c r="D177" s="70"/>
      <c r="E177" s="71"/>
      <c r="F177" s="72"/>
      <c r="G177" s="70"/>
      <c r="H177" s="71"/>
      <c r="I177" s="73" t="s">
        <v>307</v>
      </c>
      <c r="J177" s="70"/>
      <c r="K177" s="74">
        <f t="shared" si="86"/>
        <v>0</v>
      </c>
      <c r="L177" s="75"/>
      <c r="M177" s="70"/>
      <c r="N177" s="76">
        <f t="shared" si="89"/>
        <v>0</v>
      </c>
      <c r="O177" s="77"/>
      <c r="P177" s="74">
        <f t="shared" si="87"/>
        <v>0</v>
      </c>
      <c r="Q177" s="70"/>
      <c r="R177" s="76"/>
      <c r="S177" s="77"/>
      <c r="T177" s="74">
        <f t="shared" si="88"/>
        <v>0</v>
      </c>
      <c r="U177" s="78"/>
      <c r="V177" s="74">
        <f t="shared" si="84"/>
        <v>0</v>
      </c>
      <c r="W177" s="79">
        <f t="shared" si="85"/>
        <v>0</v>
      </c>
      <c r="X177" s="80"/>
    </row>
    <row r="178" spans="1:25" ht="15" thickBot="1" x14ac:dyDescent="0.35">
      <c r="A178" s="80">
        <f t="shared" si="104"/>
        <v>171</v>
      </c>
      <c r="B178" s="80"/>
      <c r="C178" s="232" t="str">
        <f>IFERROR(VLOOKUP(B178,'Importer Data Fields'!C:D,2,0),"")</f>
        <v/>
      </c>
      <c r="D178" s="70"/>
      <c r="E178" s="71"/>
      <c r="F178" s="72"/>
      <c r="G178" s="70"/>
      <c r="H178" s="71"/>
      <c r="I178" s="73" t="s">
        <v>256</v>
      </c>
      <c r="J178" s="70"/>
      <c r="K178" s="74">
        <f t="shared" si="86"/>
        <v>0</v>
      </c>
      <c r="L178" s="75"/>
      <c r="M178" s="70"/>
      <c r="N178" s="76">
        <f t="shared" si="89"/>
        <v>0</v>
      </c>
      <c r="O178" s="77"/>
      <c r="P178" s="74">
        <f t="shared" si="87"/>
        <v>0</v>
      </c>
      <c r="Q178" s="70"/>
      <c r="R178" s="76"/>
      <c r="S178" s="77"/>
      <c r="T178" s="74">
        <f t="shared" si="88"/>
        <v>0</v>
      </c>
      <c r="U178" s="78"/>
      <c r="V178" s="74">
        <f t="shared" ref="V178:V241" si="106">H178*U178</f>
        <v>0</v>
      </c>
      <c r="W178" s="79">
        <f t="shared" ref="W178:W241" si="107">V178+T178+P178+K178</f>
        <v>0</v>
      </c>
      <c r="X178" s="80"/>
    </row>
    <row r="179" spans="1:25" ht="15" thickBot="1" x14ac:dyDescent="0.35">
      <c r="A179" s="80">
        <f t="shared" si="104"/>
        <v>172</v>
      </c>
      <c r="B179" s="80" t="s">
        <v>306</v>
      </c>
      <c r="C179" s="232" t="str">
        <f>IFERROR(VLOOKUP(B179,'Importer Data Fields'!C:D,2,0),"")</f>
        <v>Plumbing Piping</v>
      </c>
      <c r="D179" s="70"/>
      <c r="E179" s="71"/>
      <c r="F179" s="72"/>
      <c r="G179" s="70"/>
      <c r="H179" s="71"/>
      <c r="I179" s="73"/>
      <c r="J179" s="70"/>
      <c r="K179" s="74">
        <f t="shared" si="86"/>
        <v>0</v>
      </c>
      <c r="L179" s="75"/>
      <c r="M179" s="70"/>
      <c r="N179" s="76">
        <f t="shared" si="89"/>
        <v>0</v>
      </c>
      <c r="O179" s="77"/>
      <c r="P179" s="74">
        <f t="shared" si="87"/>
        <v>0</v>
      </c>
      <c r="Q179" s="70"/>
      <c r="R179" s="76"/>
      <c r="S179" s="77"/>
      <c r="T179" s="74">
        <f t="shared" si="88"/>
        <v>0</v>
      </c>
      <c r="U179" s="78"/>
      <c r="V179" s="74">
        <f t="shared" si="106"/>
        <v>0</v>
      </c>
      <c r="W179" s="79">
        <f t="shared" si="107"/>
        <v>0</v>
      </c>
      <c r="X179" s="80"/>
    </row>
    <row r="180" spans="1:25" ht="15" thickBot="1" x14ac:dyDescent="0.35">
      <c r="A180" s="80">
        <f t="shared" si="104"/>
        <v>173</v>
      </c>
      <c r="B180" s="80"/>
      <c r="C180" s="232" t="str">
        <f>IFERROR(VLOOKUP(B180,'Importer Data Fields'!C:D,2,0),"")</f>
        <v/>
      </c>
      <c r="D180" s="70"/>
      <c r="E180" s="71"/>
      <c r="F180" s="72"/>
      <c r="G180" s="70"/>
      <c r="H180" s="71"/>
      <c r="I180" s="73" t="s">
        <v>256</v>
      </c>
      <c r="J180" s="70"/>
      <c r="K180" s="74">
        <f t="shared" ref="K180:K242" si="108">J180*H180</f>
        <v>0</v>
      </c>
      <c r="L180" s="75"/>
      <c r="M180" s="70"/>
      <c r="N180" s="76">
        <f t="shared" si="89"/>
        <v>0</v>
      </c>
      <c r="O180" s="77"/>
      <c r="P180" s="74">
        <f t="shared" ref="P180:P242" si="109">O180*N180</f>
        <v>0</v>
      </c>
      <c r="Q180" s="70"/>
      <c r="R180" s="76"/>
      <c r="S180" s="77"/>
      <c r="T180" s="74">
        <f t="shared" ref="T180:T242" si="110">S180*Q180</f>
        <v>0</v>
      </c>
      <c r="U180" s="78"/>
      <c r="V180" s="74">
        <f t="shared" si="106"/>
        <v>0</v>
      </c>
      <c r="W180" s="79">
        <f t="shared" si="107"/>
        <v>0</v>
      </c>
      <c r="X180" s="80"/>
    </row>
    <row r="181" spans="1:25" ht="15" thickBot="1" x14ac:dyDescent="0.35">
      <c r="A181" s="80">
        <f t="shared" si="104"/>
        <v>174</v>
      </c>
      <c r="B181" s="80"/>
      <c r="C181" s="232" t="str">
        <f>IFERROR(VLOOKUP(B181,'Importer Data Fields'!C:D,2,0),"")</f>
        <v/>
      </c>
      <c r="D181" s="70"/>
      <c r="E181" s="71"/>
      <c r="F181" s="72"/>
      <c r="G181" s="70"/>
      <c r="H181" s="71"/>
      <c r="I181" s="73" t="s">
        <v>256</v>
      </c>
      <c r="J181" s="70"/>
      <c r="K181" s="74">
        <f t="shared" si="108"/>
        <v>0</v>
      </c>
      <c r="L181" s="75"/>
      <c r="M181" s="70"/>
      <c r="N181" s="76">
        <f t="shared" si="89"/>
        <v>0</v>
      </c>
      <c r="O181" s="77"/>
      <c r="P181" s="74">
        <f t="shared" si="109"/>
        <v>0</v>
      </c>
      <c r="Q181" s="70"/>
      <c r="R181" s="76"/>
      <c r="S181" s="77"/>
      <c r="T181" s="74">
        <f t="shared" si="110"/>
        <v>0</v>
      </c>
      <c r="U181" s="78"/>
      <c r="V181" s="74">
        <f t="shared" si="106"/>
        <v>0</v>
      </c>
      <c r="W181" s="79">
        <f t="shared" si="107"/>
        <v>0</v>
      </c>
      <c r="X181" s="80"/>
    </row>
    <row r="182" spans="1:25" ht="15" thickBot="1" x14ac:dyDescent="0.35">
      <c r="A182" s="80">
        <f t="shared" si="104"/>
        <v>175</v>
      </c>
      <c r="B182" s="80"/>
      <c r="C182" s="232" t="str">
        <f>IFERROR(VLOOKUP(B182,'Importer Data Fields'!C:D,2,0),"")</f>
        <v/>
      </c>
      <c r="D182" s="70"/>
      <c r="E182" s="71"/>
      <c r="F182" s="72"/>
      <c r="G182" s="70"/>
      <c r="H182" s="71"/>
      <c r="I182" s="73" t="s">
        <v>256</v>
      </c>
      <c r="J182" s="70"/>
      <c r="K182" s="74">
        <f t="shared" si="108"/>
        <v>0</v>
      </c>
      <c r="L182" s="75"/>
      <c r="M182" s="70"/>
      <c r="N182" s="76">
        <f t="shared" si="89"/>
        <v>0</v>
      </c>
      <c r="O182" s="77"/>
      <c r="P182" s="74">
        <f t="shared" si="109"/>
        <v>0</v>
      </c>
      <c r="Q182" s="70"/>
      <c r="R182" s="76"/>
      <c r="S182" s="77"/>
      <c r="T182" s="74">
        <f t="shared" si="110"/>
        <v>0</v>
      </c>
      <c r="U182" s="78"/>
      <c r="V182" s="74">
        <f t="shared" si="106"/>
        <v>0</v>
      </c>
      <c r="W182" s="79">
        <f t="shared" si="107"/>
        <v>0</v>
      </c>
      <c r="X182" s="80"/>
    </row>
    <row r="183" spans="1:25" ht="15" thickBot="1" x14ac:dyDescent="0.35">
      <c r="A183" s="80">
        <f t="shared" si="104"/>
        <v>176</v>
      </c>
      <c r="B183" s="80" t="s">
        <v>308</v>
      </c>
      <c r="C183" s="232" t="str">
        <f>IFERROR(VLOOKUP(B183,'Importer Data Fields'!C:D,2,0),"")</f>
        <v>Grease Removal Devices</v>
      </c>
      <c r="D183" s="70"/>
      <c r="E183" s="71"/>
      <c r="F183" s="72"/>
      <c r="G183" s="70"/>
      <c r="H183" s="71"/>
      <c r="I183" s="73" t="s">
        <v>256</v>
      </c>
      <c r="J183" s="70"/>
      <c r="K183" s="74">
        <f t="shared" si="108"/>
        <v>0</v>
      </c>
      <c r="L183" s="75"/>
      <c r="M183" s="70"/>
      <c r="N183" s="76">
        <f t="shared" si="89"/>
        <v>0</v>
      </c>
      <c r="O183" s="77"/>
      <c r="P183" s="74">
        <f t="shared" si="109"/>
        <v>0</v>
      </c>
      <c r="Q183" s="70"/>
      <c r="R183" s="76"/>
      <c r="S183" s="77"/>
      <c r="T183" s="74">
        <f t="shared" si="110"/>
        <v>0</v>
      </c>
      <c r="U183" s="78"/>
      <c r="V183" s="74">
        <f t="shared" si="106"/>
        <v>0</v>
      </c>
      <c r="W183" s="79">
        <f t="shared" si="107"/>
        <v>0</v>
      </c>
      <c r="X183" s="80"/>
    </row>
    <row r="184" spans="1:25" ht="15" thickBot="1" x14ac:dyDescent="0.35">
      <c r="A184" s="80">
        <f t="shared" si="104"/>
        <v>177</v>
      </c>
      <c r="B184" s="80"/>
      <c r="C184" s="232" t="str">
        <f>IFERROR(VLOOKUP(B184,'Importer Data Fields'!C:D,2,0),"")</f>
        <v/>
      </c>
      <c r="D184" s="70"/>
      <c r="E184" s="71"/>
      <c r="F184" s="72"/>
      <c r="G184" s="70"/>
      <c r="H184" s="71"/>
      <c r="I184" s="73" t="s">
        <v>238</v>
      </c>
      <c r="J184" s="70"/>
      <c r="K184" s="74">
        <f t="shared" si="108"/>
        <v>0</v>
      </c>
      <c r="L184" s="75"/>
      <c r="M184" s="70"/>
      <c r="N184" s="76">
        <f t="shared" si="89"/>
        <v>0</v>
      </c>
      <c r="O184" s="77"/>
      <c r="P184" s="74">
        <f t="shared" si="109"/>
        <v>0</v>
      </c>
      <c r="Q184" s="70"/>
      <c r="R184" s="76"/>
      <c r="S184" s="77"/>
      <c r="T184" s="74">
        <f t="shared" si="110"/>
        <v>0</v>
      </c>
      <c r="U184" s="78"/>
      <c r="V184" s="74">
        <f t="shared" si="106"/>
        <v>0</v>
      </c>
      <c r="W184" s="79">
        <f t="shared" si="107"/>
        <v>0</v>
      </c>
      <c r="X184" s="80"/>
    </row>
    <row r="185" spans="1:25" ht="15" thickBot="1" x14ac:dyDescent="0.35">
      <c r="A185" s="80">
        <f t="shared" si="104"/>
        <v>178</v>
      </c>
      <c r="B185" s="80"/>
      <c r="C185" s="232" t="str">
        <f>IFERROR(VLOOKUP(B185,'Importer Data Fields'!C:D,2,0),"")</f>
        <v/>
      </c>
      <c r="D185" s="70"/>
      <c r="E185" s="71"/>
      <c r="F185" s="72"/>
      <c r="G185" s="70"/>
      <c r="H185" s="71"/>
      <c r="I185" s="73" t="s">
        <v>238</v>
      </c>
      <c r="J185" s="70"/>
      <c r="K185" s="74">
        <f t="shared" si="108"/>
        <v>0</v>
      </c>
      <c r="L185" s="75"/>
      <c r="M185" s="70"/>
      <c r="N185" s="76">
        <f t="shared" si="89"/>
        <v>0</v>
      </c>
      <c r="O185" s="77"/>
      <c r="P185" s="74">
        <f t="shared" si="109"/>
        <v>0</v>
      </c>
      <c r="Q185" s="70"/>
      <c r="R185" s="76"/>
      <c r="S185" s="77"/>
      <c r="T185" s="74">
        <f t="shared" si="110"/>
        <v>0</v>
      </c>
      <c r="U185" s="78"/>
      <c r="V185" s="74">
        <f t="shared" si="106"/>
        <v>0</v>
      </c>
      <c r="W185" s="79">
        <f t="shared" si="107"/>
        <v>0</v>
      </c>
      <c r="X185" s="80"/>
    </row>
    <row r="186" spans="1:25" ht="15" thickBot="1" x14ac:dyDescent="0.35">
      <c r="A186" s="80">
        <f t="shared" si="104"/>
        <v>179</v>
      </c>
      <c r="B186" s="80"/>
      <c r="C186" s="232" t="str">
        <f>IFERROR(VLOOKUP(B186,'Importer Data Fields'!C:D,2,0),"")</f>
        <v/>
      </c>
      <c r="D186" s="70"/>
      <c r="E186" s="71"/>
      <c r="F186" s="72"/>
      <c r="G186" s="70"/>
      <c r="H186" s="71"/>
      <c r="I186" s="73" t="s">
        <v>238</v>
      </c>
      <c r="J186" s="70"/>
      <c r="K186" s="74">
        <f t="shared" si="108"/>
        <v>0</v>
      </c>
      <c r="L186" s="75"/>
      <c r="M186" s="70"/>
      <c r="N186" s="76">
        <f t="shared" si="89"/>
        <v>0</v>
      </c>
      <c r="O186" s="77"/>
      <c r="P186" s="74">
        <f t="shared" si="109"/>
        <v>0</v>
      </c>
      <c r="Q186" s="70"/>
      <c r="R186" s="76"/>
      <c r="S186" s="77"/>
      <c r="T186" s="74">
        <f t="shared" si="110"/>
        <v>0</v>
      </c>
      <c r="U186" s="78"/>
      <c r="V186" s="74">
        <f t="shared" si="106"/>
        <v>0</v>
      </c>
      <c r="W186" s="79">
        <f t="shared" si="107"/>
        <v>0</v>
      </c>
      <c r="X186" s="80"/>
    </row>
    <row r="187" spans="1:25" ht="15" thickBot="1" x14ac:dyDescent="0.35">
      <c r="A187" s="80">
        <f t="shared" si="104"/>
        <v>180</v>
      </c>
      <c r="B187" s="80"/>
      <c r="C187" s="232" t="str">
        <f>IFERROR(VLOOKUP(B187,'Importer Data Fields'!C:D,2,0),"")</f>
        <v/>
      </c>
      <c r="D187" s="70"/>
      <c r="E187" s="71"/>
      <c r="F187" s="72"/>
      <c r="G187" s="70"/>
      <c r="H187" s="71"/>
      <c r="I187" s="73" t="s">
        <v>238</v>
      </c>
      <c r="J187" s="70"/>
      <c r="K187" s="74">
        <f t="shared" si="108"/>
        <v>0</v>
      </c>
      <c r="L187" s="75"/>
      <c r="M187" s="70"/>
      <c r="N187" s="76">
        <f t="shared" si="89"/>
        <v>0</v>
      </c>
      <c r="O187" s="77"/>
      <c r="P187" s="74">
        <f t="shared" si="109"/>
        <v>0</v>
      </c>
      <c r="Q187" s="70"/>
      <c r="R187" s="76"/>
      <c r="S187" s="77"/>
      <c r="T187" s="74">
        <f t="shared" si="110"/>
        <v>0</v>
      </c>
      <c r="U187" s="78"/>
      <c r="V187" s="74">
        <f t="shared" si="106"/>
        <v>0</v>
      </c>
      <c r="W187" s="79">
        <f t="shared" si="107"/>
        <v>0</v>
      </c>
      <c r="X187" s="80"/>
    </row>
    <row r="188" spans="1:25" ht="15" thickBot="1" x14ac:dyDescent="0.35">
      <c r="A188" s="80">
        <f t="shared" si="104"/>
        <v>181</v>
      </c>
      <c r="B188" s="80"/>
      <c r="C188" s="232" t="str">
        <f>IFERROR(VLOOKUP(B188,'Importer Data Fields'!C:D,2,0),"")</f>
        <v/>
      </c>
      <c r="D188" s="70"/>
      <c r="E188" s="71"/>
      <c r="F188" s="72"/>
      <c r="G188" s="70"/>
      <c r="H188" s="71"/>
      <c r="I188" s="73" t="s">
        <v>256</v>
      </c>
      <c r="J188" s="70"/>
      <c r="K188" s="74">
        <f t="shared" si="108"/>
        <v>0</v>
      </c>
      <c r="L188" s="75"/>
      <c r="M188" s="70"/>
      <c r="N188" s="76">
        <f t="shared" si="89"/>
        <v>0</v>
      </c>
      <c r="O188" s="77"/>
      <c r="P188" s="74">
        <f t="shared" si="109"/>
        <v>0</v>
      </c>
      <c r="Q188" s="70"/>
      <c r="R188" s="76"/>
      <c r="S188" s="77"/>
      <c r="T188" s="74">
        <f t="shared" si="110"/>
        <v>0</v>
      </c>
      <c r="U188" s="78"/>
      <c r="V188" s="74">
        <f t="shared" si="106"/>
        <v>0</v>
      </c>
      <c r="W188" s="79">
        <f t="shared" si="107"/>
        <v>0</v>
      </c>
      <c r="X188" s="80"/>
    </row>
    <row r="189" spans="1:25" ht="15" thickBot="1" x14ac:dyDescent="0.35">
      <c r="A189" s="80">
        <f t="shared" si="104"/>
        <v>182</v>
      </c>
      <c r="B189" s="231"/>
      <c r="C189" s="232" t="str">
        <f>IFERROR(VLOOKUP(B189,'Importer Data Fields'!C:D,2,0),"")</f>
        <v/>
      </c>
      <c r="D189" s="70"/>
      <c r="E189" s="71"/>
      <c r="F189" s="72"/>
      <c r="G189" s="70"/>
      <c r="H189" s="71"/>
      <c r="I189" s="73"/>
      <c r="J189" s="70"/>
      <c r="K189" s="74">
        <f t="shared" si="108"/>
        <v>0</v>
      </c>
      <c r="L189" s="75"/>
      <c r="M189" s="70"/>
      <c r="N189" s="76">
        <f t="shared" ref="N189:N191" si="111">L189*M189*H189</f>
        <v>0</v>
      </c>
      <c r="O189" s="77"/>
      <c r="P189" s="74">
        <f t="shared" si="109"/>
        <v>0</v>
      </c>
      <c r="Q189" s="70"/>
      <c r="R189" s="76"/>
      <c r="S189" s="77"/>
      <c r="T189" s="74">
        <f t="shared" si="110"/>
        <v>0</v>
      </c>
      <c r="U189" s="78"/>
      <c r="V189" s="74">
        <f t="shared" si="106"/>
        <v>0</v>
      </c>
      <c r="W189" s="79">
        <f t="shared" si="107"/>
        <v>0</v>
      </c>
      <c r="X189" s="80"/>
    </row>
    <row r="190" spans="1:25" ht="15" thickBot="1" x14ac:dyDescent="0.35">
      <c r="A190" s="165">
        <f t="shared" si="104"/>
        <v>183</v>
      </c>
      <c r="B190" s="314" t="s">
        <v>309</v>
      </c>
      <c r="C190" s="315"/>
      <c r="D190" s="167"/>
      <c r="E190" s="168"/>
      <c r="F190" s="169"/>
      <c r="G190" s="167"/>
      <c r="H190" s="168"/>
      <c r="I190" s="170" t="s">
        <v>238</v>
      </c>
      <c r="J190" s="167"/>
      <c r="K190" s="171">
        <f t="shared" si="108"/>
        <v>0</v>
      </c>
      <c r="L190" s="172"/>
      <c r="M190" s="167"/>
      <c r="N190" s="173">
        <f t="shared" si="111"/>
        <v>0</v>
      </c>
      <c r="O190" s="174"/>
      <c r="P190" s="171">
        <f t="shared" si="109"/>
        <v>0</v>
      </c>
      <c r="Q190" s="167"/>
      <c r="R190" s="173"/>
      <c r="S190" s="174"/>
      <c r="T190" s="171">
        <f t="shared" si="110"/>
        <v>0</v>
      </c>
      <c r="U190" s="175"/>
      <c r="V190" s="171">
        <f t="shared" si="106"/>
        <v>0</v>
      </c>
      <c r="W190" s="176">
        <f t="shared" si="107"/>
        <v>0</v>
      </c>
      <c r="X190" s="165"/>
      <c r="Y190" s="177">
        <f>SUM(W190:W204)</f>
        <v>0</v>
      </c>
    </row>
    <row r="191" spans="1:25" ht="15" thickBot="1" x14ac:dyDescent="0.35">
      <c r="A191" s="80">
        <f t="shared" si="104"/>
        <v>184</v>
      </c>
      <c r="B191" s="232"/>
      <c r="C191" s="232" t="str">
        <f>IFERROR(VLOOKUP(B191,'Importer Data Fields'!C:D,2,0),"")</f>
        <v/>
      </c>
      <c r="D191" s="70"/>
      <c r="E191" s="71"/>
      <c r="F191" s="72"/>
      <c r="G191" s="70"/>
      <c r="H191" s="71"/>
      <c r="I191" s="73" t="s">
        <v>256</v>
      </c>
      <c r="J191" s="70"/>
      <c r="K191" s="74">
        <f t="shared" si="108"/>
        <v>0</v>
      </c>
      <c r="L191" s="75"/>
      <c r="M191" s="70"/>
      <c r="N191" s="76">
        <f t="shared" si="111"/>
        <v>0</v>
      </c>
      <c r="O191" s="77"/>
      <c r="P191" s="74">
        <f t="shared" si="109"/>
        <v>0</v>
      </c>
      <c r="Q191" s="70"/>
      <c r="R191" s="76"/>
      <c r="S191" s="77"/>
      <c r="T191" s="74">
        <f t="shared" si="110"/>
        <v>0</v>
      </c>
      <c r="U191" s="78"/>
      <c r="V191" s="74">
        <f t="shared" si="106"/>
        <v>0</v>
      </c>
      <c r="W191" s="79">
        <f t="shared" si="107"/>
        <v>0</v>
      </c>
      <c r="X191" s="80"/>
    </row>
    <row r="192" spans="1:25" ht="15" thickBot="1" x14ac:dyDescent="0.35">
      <c r="A192" s="80">
        <f t="shared" si="104"/>
        <v>185</v>
      </c>
      <c r="B192" s="80"/>
      <c r="C192" s="232" t="str">
        <f>IFERROR(VLOOKUP(B192,'Importer Data Fields'!C:D,2,0),"")</f>
        <v/>
      </c>
      <c r="D192" s="70"/>
      <c r="E192" s="71"/>
      <c r="F192" s="72"/>
      <c r="G192" s="70"/>
      <c r="H192" s="71"/>
      <c r="I192" s="73" t="s">
        <v>256</v>
      </c>
      <c r="J192" s="70"/>
      <c r="K192" s="74">
        <f t="shared" si="108"/>
        <v>0</v>
      </c>
      <c r="L192" s="75"/>
      <c r="M192" s="70"/>
      <c r="N192" s="76">
        <f t="shared" ref="N192:N242" si="112">ROUND(L192*M192*H192,0)</f>
        <v>0</v>
      </c>
      <c r="O192" s="77"/>
      <c r="P192" s="74">
        <f t="shared" si="109"/>
        <v>0</v>
      </c>
      <c r="Q192" s="70"/>
      <c r="R192" s="76"/>
      <c r="S192" s="77"/>
      <c r="T192" s="74">
        <f t="shared" si="110"/>
        <v>0</v>
      </c>
      <c r="U192" s="78"/>
      <c r="V192" s="74">
        <f t="shared" si="106"/>
        <v>0</v>
      </c>
      <c r="W192" s="79">
        <f t="shared" si="107"/>
        <v>0</v>
      </c>
      <c r="X192" s="80"/>
    </row>
    <row r="193" spans="1:25" ht="15" thickBot="1" x14ac:dyDescent="0.35">
      <c r="A193" s="80">
        <f t="shared" si="104"/>
        <v>186</v>
      </c>
      <c r="B193" s="80"/>
      <c r="C193" s="232" t="str">
        <f>IFERROR(VLOOKUP(B193,'Importer Data Fields'!C:D,2,0),"")</f>
        <v/>
      </c>
      <c r="D193" s="70"/>
      <c r="E193" s="71"/>
      <c r="F193" s="72"/>
      <c r="G193" s="70"/>
      <c r="H193" s="71"/>
      <c r="I193" s="73" t="s">
        <v>256</v>
      </c>
      <c r="J193" s="70"/>
      <c r="K193" s="74">
        <f t="shared" si="108"/>
        <v>0</v>
      </c>
      <c r="L193" s="75"/>
      <c r="M193" s="70"/>
      <c r="N193" s="76">
        <f t="shared" si="112"/>
        <v>0</v>
      </c>
      <c r="O193" s="77"/>
      <c r="P193" s="74">
        <f t="shared" si="109"/>
        <v>0</v>
      </c>
      <c r="Q193" s="70"/>
      <c r="R193" s="76"/>
      <c r="S193" s="77"/>
      <c r="T193" s="74">
        <f t="shared" si="110"/>
        <v>0</v>
      </c>
      <c r="U193" s="78"/>
      <c r="V193" s="74">
        <f t="shared" si="106"/>
        <v>0</v>
      </c>
      <c r="W193" s="79">
        <f t="shared" si="107"/>
        <v>0</v>
      </c>
      <c r="X193" s="80"/>
    </row>
    <row r="194" spans="1:25" ht="15" thickBot="1" x14ac:dyDescent="0.35">
      <c r="A194" s="80">
        <f t="shared" si="104"/>
        <v>187</v>
      </c>
      <c r="B194" s="80"/>
      <c r="C194" s="232" t="str">
        <f>IFERROR(VLOOKUP(B194,'Importer Data Fields'!C:D,2,0),"")</f>
        <v/>
      </c>
      <c r="D194" s="70"/>
      <c r="E194" s="71"/>
      <c r="F194" s="72"/>
      <c r="G194" s="70"/>
      <c r="H194" s="71"/>
      <c r="I194" s="73" t="s">
        <v>256</v>
      </c>
      <c r="J194" s="70"/>
      <c r="K194" s="74">
        <f t="shared" si="108"/>
        <v>0</v>
      </c>
      <c r="L194" s="75"/>
      <c r="M194" s="70"/>
      <c r="N194" s="76">
        <f t="shared" si="112"/>
        <v>0</v>
      </c>
      <c r="O194" s="77"/>
      <c r="P194" s="74">
        <f t="shared" si="109"/>
        <v>0</v>
      </c>
      <c r="Q194" s="70"/>
      <c r="R194" s="76"/>
      <c r="S194" s="77"/>
      <c r="T194" s="74">
        <f t="shared" si="110"/>
        <v>0</v>
      </c>
      <c r="U194" s="78"/>
      <c r="V194" s="74">
        <f t="shared" si="106"/>
        <v>0</v>
      </c>
      <c r="W194" s="79">
        <f t="shared" si="107"/>
        <v>0</v>
      </c>
      <c r="X194" s="80"/>
    </row>
    <row r="195" spans="1:25" ht="15" thickBot="1" x14ac:dyDescent="0.35">
      <c r="A195" s="80">
        <f t="shared" si="104"/>
        <v>188</v>
      </c>
      <c r="B195" s="80"/>
      <c r="C195" s="232" t="str">
        <f>IFERROR(VLOOKUP(B195,'Importer Data Fields'!C:D,2,0),"")</f>
        <v/>
      </c>
      <c r="D195" s="70"/>
      <c r="E195" s="71"/>
      <c r="F195" s="72"/>
      <c r="G195" s="70"/>
      <c r="H195" s="71"/>
      <c r="I195" s="73" t="s">
        <v>238</v>
      </c>
      <c r="J195" s="70"/>
      <c r="K195" s="74">
        <f t="shared" si="108"/>
        <v>0</v>
      </c>
      <c r="L195" s="75"/>
      <c r="M195" s="70"/>
      <c r="N195" s="76">
        <f t="shared" si="112"/>
        <v>0</v>
      </c>
      <c r="O195" s="77"/>
      <c r="P195" s="74">
        <f t="shared" si="109"/>
        <v>0</v>
      </c>
      <c r="Q195" s="70"/>
      <c r="R195" s="76"/>
      <c r="S195" s="77"/>
      <c r="T195" s="74">
        <f t="shared" si="110"/>
        <v>0</v>
      </c>
      <c r="U195" s="78"/>
      <c r="V195" s="74">
        <f t="shared" si="106"/>
        <v>0</v>
      </c>
      <c r="W195" s="79">
        <f t="shared" si="107"/>
        <v>0</v>
      </c>
      <c r="X195" s="80"/>
    </row>
    <row r="196" spans="1:25" ht="15" thickBot="1" x14ac:dyDescent="0.35">
      <c r="A196" s="80">
        <f t="shared" si="104"/>
        <v>189</v>
      </c>
      <c r="B196" s="80"/>
      <c r="C196" s="232" t="str">
        <f>IFERROR(VLOOKUP(B196,'Importer Data Fields'!C:D,2,0),"")</f>
        <v/>
      </c>
      <c r="D196" s="70"/>
      <c r="E196" s="71"/>
      <c r="F196" s="72"/>
      <c r="G196" s="70"/>
      <c r="H196" s="71"/>
      <c r="I196" s="73" t="s">
        <v>256</v>
      </c>
      <c r="J196" s="70"/>
      <c r="K196" s="74">
        <f t="shared" si="108"/>
        <v>0</v>
      </c>
      <c r="L196" s="75"/>
      <c r="M196" s="70"/>
      <c r="N196" s="76">
        <f t="shared" si="112"/>
        <v>0</v>
      </c>
      <c r="O196" s="77"/>
      <c r="P196" s="74">
        <f t="shared" si="109"/>
        <v>0</v>
      </c>
      <c r="Q196" s="70"/>
      <c r="R196" s="76"/>
      <c r="S196" s="77"/>
      <c r="T196" s="74">
        <f t="shared" si="110"/>
        <v>0</v>
      </c>
      <c r="U196" s="78"/>
      <c r="V196" s="74">
        <f t="shared" si="106"/>
        <v>0</v>
      </c>
      <c r="W196" s="79">
        <f t="shared" si="107"/>
        <v>0</v>
      </c>
      <c r="X196" s="80"/>
    </row>
    <row r="197" spans="1:25" ht="15" thickBot="1" x14ac:dyDescent="0.35">
      <c r="A197" s="80">
        <f t="shared" si="104"/>
        <v>190</v>
      </c>
      <c r="B197" s="80"/>
      <c r="C197" s="232" t="str">
        <f>IFERROR(VLOOKUP(B197,'Importer Data Fields'!C:D,2,0),"")</f>
        <v/>
      </c>
      <c r="D197" s="70"/>
      <c r="E197" s="71"/>
      <c r="F197" s="88"/>
      <c r="G197" s="71"/>
      <c r="H197" s="71"/>
      <c r="I197" s="73" t="s">
        <v>256</v>
      </c>
      <c r="J197" s="70"/>
      <c r="K197" s="74">
        <f t="shared" si="108"/>
        <v>0</v>
      </c>
      <c r="L197" s="75"/>
      <c r="M197" s="70"/>
      <c r="N197" s="76">
        <f t="shared" si="112"/>
        <v>0</v>
      </c>
      <c r="O197" s="77"/>
      <c r="P197" s="74">
        <f t="shared" si="109"/>
        <v>0</v>
      </c>
      <c r="Q197" s="70"/>
      <c r="R197" s="76"/>
      <c r="S197" s="77"/>
      <c r="T197" s="74">
        <f t="shared" si="110"/>
        <v>0</v>
      </c>
      <c r="U197" s="78"/>
      <c r="V197" s="74">
        <f t="shared" si="106"/>
        <v>0</v>
      </c>
      <c r="W197" s="79">
        <f t="shared" si="107"/>
        <v>0</v>
      </c>
      <c r="X197" s="80"/>
    </row>
    <row r="198" spans="1:25" ht="15" thickBot="1" x14ac:dyDescent="0.35">
      <c r="A198" s="80">
        <f t="shared" si="104"/>
        <v>191</v>
      </c>
      <c r="B198" s="80"/>
      <c r="C198" s="232" t="str">
        <f>IFERROR(VLOOKUP(B198,'Importer Data Fields'!C:D,2,0),"")</f>
        <v/>
      </c>
      <c r="D198" s="70"/>
      <c r="E198" s="71"/>
      <c r="F198" s="72"/>
      <c r="G198" s="71"/>
      <c r="H198" s="71"/>
      <c r="I198" s="73" t="s">
        <v>256</v>
      </c>
      <c r="J198" s="70"/>
      <c r="K198" s="74">
        <f t="shared" si="108"/>
        <v>0</v>
      </c>
      <c r="L198" s="75"/>
      <c r="M198" s="70"/>
      <c r="N198" s="76">
        <f t="shared" si="112"/>
        <v>0</v>
      </c>
      <c r="O198" s="77"/>
      <c r="P198" s="74">
        <f t="shared" si="109"/>
        <v>0</v>
      </c>
      <c r="Q198" s="70"/>
      <c r="R198" s="76"/>
      <c r="S198" s="77"/>
      <c r="T198" s="74">
        <f t="shared" si="110"/>
        <v>0</v>
      </c>
      <c r="U198" s="78"/>
      <c r="V198" s="74">
        <f t="shared" si="106"/>
        <v>0</v>
      </c>
      <c r="W198" s="79">
        <f t="shared" si="107"/>
        <v>0</v>
      </c>
      <c r="X198" s="80"/>
    </row>
    <row r="199" spans="1:25" ht="15" thickBot="1" x14ac:dyDescent="0.35">
      <c r="A199" s="80">
        <f t="shared" si="104"/>
        <v>192</v>
      </c>
      <c r="B199" s="80"/>
      <c r="C199" s="232" t="str">
        <f>IFERROR(VLOOKUP(B199,'Importer Data Fields'!C:D,2,0),"")</f>
        <v/>
      </c>
      <c r="D199" s="70"/>
      <c r="E199" s="71"/>
      <c r="F199" s="72"/>
      <c r="G199" s="71"/>
      <c r="H199" s="71"/>
      <c r="I199" s="73"/>
      <c r="J199" s="70"/>
      <c r="K199" s="74">
        <f t="shared" si="108"/>
        <v>0</v>
      </c>
      <c r="L199" s="75"/>
      <c r="M199" s="70"/>
      <c r="N199" s="76">
        <f t="shared" si="112"/>
        <v>0</v>
      </c>
      <c r="O199" s="77"/>
      <c r="P199" s="74">
        <f t="shared" si="109"/>
        <v>0</v>
      </c>
      <c r="Q199" s="70"/>
      <c r="R199" s="76"/>
      <c r="S199" s="77"/>
      <c r="T199" s="74">
        <f t="shared" si="110"/>
        <v>0</v>
      </c>
      <c r="U199" s="78"/>
      <c r="V199" s="74">
        <f t="shared" si="106"/>
        <v>0</v>
      </c>
      <c r="W199" s="79">
        <f t="shared" si="107"/>
        <v>0</v>
      </c>
      <c r="X199" s="80"/>
    </row>
    <row r="200" spans="1:25" ht="15" thickBot="1" x14ac:dyDescent="0.35">
      <c r="A200" s="80">
        <f t="shared" si="104"/>
        <v>193</v>
      </c>
      <c r="B200" s="80"/>
      <c r="C200" s="232" t="str">
        <f>IFERROR(VLOOKUP(B200,'Importer Data Fields'!C:D,2,0),"")</f>
        <v/>
      </c>
      <c r="D200" s="70"/>
      <c r="E200" s="71"/>
      <c r="F200" s="72"/>
      <c r="G200" s="70"/>
      <c r="H200" s="71"/>
      <c r="I200" s="73"/>
      <c r="J200" s="70"/>
      <c r="K200" s="74">
        <f t="shared" si="108"/>
        <v>0</v>
      </c>
      <c r="L200" s="75"/>
      <c r="M200" s="70"/>
      <c r="N200" s="76">
        <f t="shared" si="112"/>
        <v>0</v>
      </c>
      <c r="O200" s="77"/>
      <c r="P200" s="74">
        <f t="shared" si="109"/>
        <v>0</v>
      </c>
      <c r="Q200" s="70"/>
      <c r="R200" s="76"/>
      <c r="S200" s="77"/>
      <c r="T200" s="74">
        <f t="shared" si="110"/>
        <v>0</v>
      </c>
      <c r="U200" s="78"/>
      <c r="V200" s="74">
        <f t="shared" si="106"/>
        <v>0</v>
      </c>
      <c r="W200" s="79">
        <f t="shared" si="107"/>
        <v>0</v>
      </c>
      <c r="X200" s="80"/>
    </row>
    <row r="201" spans="1:25" ht="15" thickBot="1" x14ac:dyDescent="0.35">
      <c r="A201" s="80">
        <f t="shared" si="104"/>
        <v>194</v>
      </c>
      <c r="B201" s="80"/>
      <c r="C201" s="232" t="str">
        <f>IFERROR(VLOOKUP(B201,'Importer Data Fields'!C:D,2,0),"")</f>
        <v/>
      </c>
      <c r="D201" s="70"/>
      <c r="E201" s="71"/>
      <c r="F201" s="72"/>
      <c r="G201" s="70"/>
      <c r="H201" s="71"/>
      <c r="I201" s="73" t="s">
        <v>238</v>
      </c>
      <c r="J201" s="70"/>
      <c r="K201" s="74">
        <f t="shared" si="108"/>
        <v>0</v>
      </c>
      <c r="L201" s="75"/>
      <c r="M201" s="70"/>
      <c r="N201" s="76">
        <f t="shared" si="112"/>
        <v>0</v>
      </c>
      <c r="O201" s="77"/>
      <c r="P201" s="74">
        <f t="shared" si="109"/>
        <v>0</v>
      </c>
      <c r="Q201" s="70"/>
      <c r="R201" s="76"/>
      <c r="S201" s="77"/>
      <c r="T201" s="74">
        <f t="shared" si="110"/>
        <v>0</v>
      </c>
      <c r="U201" s="78"/>
      <c r="V201" s="74">
        <f t="shared" si="106"/>
        <v>0</v>
      </c>
      <c r="W201" s="79">
        <f t="shared" si="107"/>
        <v>0</v>
      </c>
      <c r="X201" s="80"/>
    </row>
    <row r="202" spans="1:25" ht="15" thickBot="1" x14ac:dyDescent="0.35">
      <c r="A202" s="80">
        <f t="shared" si="104"/>
        <v>195</v>
      </c>
      <c r="B202" s="80"/>
      <c r="C202" s="232" t="str">
        <f>IFERROR(VLOOKUP(B202,'Importer Data Fields'!C:D,2,0),"")</f>
        <v/>
      </c>
      <c r="D202" s="70"/>
      <c r="E202" s="71"/>
      <c r="F202" s="72"/>
      <c r="G202" s="70"/>
      <c r="H202" s="71"/>
      <c r="I202" s="73"/>
      <c r="J202" s="70"/>
      <c r="K202" s="74">
        <f t="shared" si="108"/>
        <v>0</v>
      </c>
      <c r="L202" s="75"/>
      <c r="M202" s="70"/>
      <c r="N202" s="76">
        <f t="shared" si="112"/>
        <v>0</v>
      </c>
      <c r="O202" s="77"/>
      <c r="P202" s="74">
        <f t="shared" si="109"/>
        <v>0</v>
      </c>
      <c r="Q202" s="70"/>
      <c r="R202" s="76"/>
      <c r="S202" s="77"/>
      <c r="T202" s="74">
        <f t="shared" si="110"/>
        <v>0</v>
      </c>
      <c r="U202" s="78"/>
      <c r="V202" s="74">
        <f t="shared" si="106"/>
        <v>0</v>
      </c>
      <c r="W202" s="79">
        <f t="shared" si="107"/>
        <v>0</v>
      </c>
      <c r="X202" s="80"/>
    </row>
    <row r="203" spans="1:25" ht="15" thickBot="1" x14ac:dyDescent="0.35">
      <c r="A203" s="80">
        <f t="shared" si="104"/>
        <v>196</v>
      </c>
      <c r="B203" s="80"/>
      <c r="C203" s="232" t="str">
        <f>IFERROR(VLOOKUP(B203,'Importer Data Fields'!C:D,2,0),"")</f>
        <v/>
      </c>
      <c r="D203" s="70"/>
      <c r="E203" s="71"/>
      <c r="F203" s="72"/>
      <c r="G203" s="70"/>
      <c r="H203" s="70"/>
      <c r="I203" s="73" t="s">
        <v>256</v>
      </c>
      <c r="J203" s="70"/>
      <c r="K203" s="74">
        <f>J203*G197</f>
        <v>0</v>
      </c>
      <c r="L203" s="75"/>
      <c r="M203" s="70"/>
      <c r="N203" s="76">
        <f>ROUND(L203*M203*G197,0)</f>
        <v>0</v>
      </c>
      <c r="O203" s="90"/>
      <c r="P203" s="74">
        <f t="shared" si="109"/>
        <v>0</v>
      </c>
      <c r="Q203" s="70"/>
      <c r="R203" s="76"/>
      <c r="S203" s="90"/>
      <c r="T203" s="74">
        <f t="shared" si="110"/>
        <v>0</v>
      </c>
      <c r="U203" s="86"/>
      <c r="V203" s="74">
        <f t="shared" si="106"/>
        <v>0</v>
      </c>
      <c r="W203" s="79">
        <f t="shared" si="107"/>
        <v>0</v>
      </c>
      <c r="X203" s="80"/>
    </row>
    <row r="204" spans="1:25" ht="15" thickBot="1" x14ac:dyDescent="0.35">
      <c r="A204" s="80">
        <f t="shared" si="104"/>
        <v>197</v>
      </c>
      <c r="B204" s="231"/>
      <c r="C204" s="232" t="str">
        <f>IFERROR(VLOOKUP(B204,'Importer Data Fields'!C:D,2,0),"")</f>
        <v/>
      </c>
      <c r="D204" s="70"/>
      <c r="E204" s="71"/>
      <c r="F204" s="72"/>
      <c r="G204" s="70"/>
      <c r="H204" s="70"/>
      <c r="I204" s="73" t="s">
        <v>238</v>
      </c>
      <c r="J204" s="70"/>
      <c r="K204" s="74">
        <f>J204*G198</f>
        <v>0</v>
      </c>
      <c r="L204" s="75"/>
      <c r="M204" s="70"/>
      <c r="N204" s="76">
        <f>ROUND(L204*M204*G198,0)</f>
        <v>0</v>
      </c>
      <c r="O204" s="77"/>
      <c r="P204" s="74">
        <f t="shared" si="109"/>
        <v>0</v>
      </c>
      <c r="Q204" s="70"/>
      <c r="R204" s="76"/>
      <c r="S204" s="77"/>
      <c r="T204" s="74">
        <f t="shared" si="110"/>
        <v>0</v>
      </c>
      <c r="U204" s="78"/>
      <c r="V204" s="74">
        <f t="shared" si="106"/>
        <v>0</v>
      </c>
      <c r="W204" s="79">
        <f t="shared" si="107"/>
        <v>0</v>
      </c>
      <c r="X204" s="80"/>
    </row>
    <row r="205" spans="1:25" ht="15" thickBot="1" x14ac:dyDescent="0.35">
      <c r="A205" s="165">
        <f t="shared" si="104"/>
        <v>198</v>
      </c>
      <c r="B205" s="314" t="s">
        <v>310</v>
      </c>
      <c r="C205" s="315"/>
      <c r="D205" s="167"/>
      <c r="E205" s="168"/>
      <c r="F205" s="169"/>
      <c r="G205" s="167"/>
      <c r="H205" s="167"/>
      <c r="I205" s="170" t="s">
        <v>238</v>
      </c>
      <c r="J205" s="167"/>
      <c r="K205" s="171">
        <f>J205*G199</f>
        <v>0</v>
      </c>
      <c r="L205" s="172"/>
      <c r="M205" s="167"/>
      <c r="N205" s="173">
        <f>ROUND(L205*M205*G199,0)</f>
        <v>0</v>
      </c>
      <c r="O205" s="174"/>
      <c r="P205" s="171">
        <f t="shared" si="109"/>
        <v>0</v>
      </c>
      <c r="Q205" s="167"/>
      <c r="R205" s="173"/>
      <c r="S205" s="174"/>
      <c r="T205" s="171">
        <f t="shared" si="110"/>
        <v>0</v>
      </c>
      <c r="U205" s="175"/>
      <c r="V205" s="171">
        <f t="shared" si="106"/>
        <v>0</v>
      </c>
      <c r="W205" s="176">
        <f t="shared" si="107"/>
        <v>0</v>
      </c>
      <c r="X205" s="165"/>
      <c r="Y205" s="177">
        <f>SUM(W205:W229)</f>
        <v>0</v>
      </c>
    </row>
    <row r="206" spans="1:25" ht="15" thickBot="1" x14ac:dyDescent="0.35">
      <c r="A206" s="80">
        <f t="shared" si="104"/>
        <v>199</v>
      </c>
      <c r="B206" s="232" t="s">
        <v>311</v>
      </c>
      <c r="C206" s="232" t="str">
        <f>IFERROR(VLOOKUP(B206,'Importer Data Fields'!C:D,2,0),"")</f>
        <v>Low-Volt Elect Distribution</v>
      </c>
      <c r="D206" s="70"/>
      <c r="E206" s="71"/>
      <c r="F206" s="72"/>
      <c r="G206" s="70"/>
      <c r="H206" s="71"/>
      <c r="I206" s="73" t="s">
        <v>256</v>
      </c>
      <c r="J206" s="70"/>
      <c r="K206" s="74">
        <f t="shared" si="108"/>
        <v>0</v>
      </c>
      <c r="L206" s="75"/>
      <c r="M206" s="70"/>
      <c r="N206" s="76">
        <f t="shared" si="112"/>
        <v>0</v>
      </c>
      <c r="O206" s="77"/>
      <c r="P206" s="74">
        <f t="shared" si="109"/>
        <v>0</v>
      </c>
      <c r="Q206" s="70"/>
      <c r="R206" s="76"/>
      <c r="S206" s="77"/>
      <c r="T206" s="74">
        <f t="shared" si="110"/>
        <v>0</v>
      </c>
      <c r="U206" s="78"/>
      <c r="V206" s="74">
        <f t="shared" si="106"/>
        <v>0</v>
      </c>
      <c r="W206" s="79">
        <f t="shared" si="107"/>
        <v>0</v>
      </c>
      <c r="X206" s="80"/>
    </row>
    <row r="207" spans="1:25" ht="15" thickBot="1" x14ac:dyDescent="0.35">
      <c r="A207" s="80">
        <f t="shared" si="104"/>
        <v>200</v>
      </c>
      <c r="B207" s="80"/>
      <c r="C207" s="232" t="str">
        <f>IFERROR(VLOOKUP(B207,'Importer Data Fields'!C:D,2,0),"")</f>
        <v/>
      </c>
      <c r="D207" s="70"/>
      <c r="E207" s="71"/>
      <c r="F207" s="72"/>
      <c r="G207" s="70"/>
      <c r="H207" s="71"/>
      <c r="I207" s="73" t="s">
        <v>256</v>
      </c>
      <c r="J207" s="70"/>
      <c r="K207" s="74">
        <f t="shared" si="108"/>
        <v>0</v>
      </c>
      <c r="L207" s="75"/>
      <c r="M207" s="70"/>
      <c r="N207" s="76">
        <f t="shared" si="112"/>
        <v>0</v>
      </c>
      <c r="O207" s="77"/>
      <c r="P207" s="74">
        <f t="shared" si="109"/>
        <v>0</v>
      </c>
      <c r="Q207" s="70"/>
      <c r="R207" s="76"/>
      <c r="S207" s="77"/>
      <c r="T207" s="74">
        <f t="shared" si="110"/>
        <v>0</v>
      </c>
      <c r="U207" s="78"/>
      <c r="V207" s="74">
        <f t="shared" si="106"/>
        <v>0</v>
      </c>
      <c r="W207" s="79">
        <f t="shared" si="107"/>
        <v>0</v>
      </c>
      <c r="X207" s="80"/>
    </row>
    <row r="208" spans="1:25" ht="15" thickBot="1" x14ac:dyDescent="0.35">
      <c r="A208" s="80">
        <f t="shared" si="104"/>
        <v>201</v>
      </c>
      <c r="B208" s="80"/>
      <c r="C208" s="232" t="str">
        <f>IFERROR(VLOOKUP(B208,'Importer Data Fields'!C:D,2,0),"")</f>
        <v/>
      </c>
      <c r="D208" s="70"/>
      <c r="E208" s="71"/>
      <c r="F208" s="72"/>
      <c r="G208" s="70"/>
      <c r="H208" s="71"/>
      <c r="I208" s="73" t="s">
        <v>256</v>
      </c>
      <c r="J208" s="70"/>
      <c r="K208" s="74">
        <f t="shared" si="108"/>
        <v>0</v>
      </c>
      <c r="L208" s="75"/>
      <c r="M208" s="70"/>
      <c r="N208" s="76">
        <f t="shared" si="112"/>
        <v>0</v>
      </c>
      <c r="O208" s="77"/>
      <c r="P208" s="74">
        <f t="shared" si="109"/>
        <v>0</v>
      </c>
      <c r="Q208" s="70"/>
      <c r="R208" s="76"/>
      <c r="S208" s="77"/>
      <c r="T208" s="74">
        <f t="shared" si="110"/>
        <v>0</v>
      </c>
      <c r="U208" s="78"/>
      <c r="V208" s="74">
        <f t="shared" si="106"/>
        <v>0</v>
      </c>
      <c r="W208" s="79">
        <f t="shared" si="107"/>
        <v>0</v>
      </c>
      <c r="X208" s="80"/>
    </row>
    <row r="209" spans="1:24" ht="15" thickBot="1" x14ac:dyDescent="0.35">
      <c r="A209" s="80">
        <f t="shared" si="104"/>
        <v>202</v>
      </c>
      <c r="B209" s="80"/>
      <c r="C209" s="232" t="str">
        <f>IFERROR(VLOOKUP(B209,'Importer Data Fields'!C:D,2,0),"")</f>
        <v/>
      </c>
      <c r="D209" s="70"/>
      <c r="E209" s="71"/>
      <c r="F209" s="72"/>
      <c r="G209" s="70"/>
      <c r="H209" s="71"/>
      <c r="I209" s="73" t="s">
        <v>256</v>
      </c>
      <c r="J209" s="70"/>
      <c r="K209" s="74">
        <f t="shared" si="108"/>
        <v>0</v>
      </c>
      <c r="L209" s="75"/>
      <c r="M209" s="70"/>
      <c r="N209" s="76">
        <f t="shared" si="112"/>
        <v>0</v>
      </c>
      <c r="O209" s="77"/>
      <c r="P209" s="74">
        <f t="shared" si="109"/>
        <v>0</v>
      </c>
      <c r="Q209" s="70"/>
      <c r="R209" s="76"/>
      <c r="S209" s="77"/>
      <c r="T209" s="74">
        <f t="shared" si="110"/>
        <v>0</v>
      </c>
      <c r="U209" s="78"/>
      <c r="V209" s="74">
        <f t="shared" si="106"/>
        <v>0</v>
      </c>
      <c r="W209" s="79">
        <f t="shared" si="107"/>
        <v>0</v>
      </c>
      <c r="X209" s="80"/>
    </row>
    <row r="210" spans="1:24" ht="15" thickBot="1" x14ac:dyDescent="0.35">
      <c r="A210" s="80">
        <f t="shared" si="104"/>
        <v>203</v>
      </c>
      <c r="B210" s="80"/>
      <c r="C210" s="232" t="str">
        <f>IFERROR(VLOOKUP(B210,'Importer Data Fields'!C:D,2,0),"")</f>
        <v/>
      </c>
      <c r="D210" s="70"/>
      <c r="E210" s="71"/>
      <c r="F210" s="72"/>
      <c r="G210" s="70"/>
      <c r="H210" s="71"/>
      <c r="I210" s="73" t="s">
        <v>256</v>
      </c>
      <c r="J210" s="70"/>
      <c r="K210" s="74">
        <f t="shared" si="108"/>
        <v>0</v>
      </c>
      <c r="L210" s="75"/>
      <c r="M210" s="70"/>
      <c r="N210" s="76">
        <f t="shared" si="112"/>
        <v>0</v>
      </c>
      <c r="O210" s="77"/>
      <c r="P210" s="74">
        <f t="shared" si="109"/>
        <v>0</v>
      </c>
      <c r="Q210" s="70"/>
      <c r="R210" s="76"/>
      <c r="S210" s="77"/>
      <c r="T210" s="74">
        <f t="shared" si="110"/>
        <v>0</v>
      </c>
      <c r="U210" s="78"/>
      <c r="V210" s="74">
        <f t="shared" si="106"/>
        <v>0</v>
      </c>
      <c r="W210" s="79">
        <f t="shared" si="107"/>
        <v>0</v>
      </c>
      <c r="X210" s="80"/>
    </row>
    <row r="211" spans="1:24" ht="15" thickBot="1" x14ac:dyDescent="0.35">
      <c r="A211" s="80">
        <f t="shared" ref="A211:A244" si="113">A210+1</f>
        <v>204</v>
      </c>
      <c r="B211" s="80"/>
      <c r="C211" s="232" t="str">
        <f>IFERROR(VLOOKUP(B211,'Importer Data Fields'!C:D,2,0),"")</f>
        <v/>
      </c>
      <c r="D211" s="70"/>
      <c r="E211" s="71"/>
      <c r="F211" s="72"/>
      <c r="G211" s="70"/>
      <c r="H211" s="71"/>
      <c r="I211" s="73" t="s">
        <v>256</v>
      </c>
      <c r="J211" s="70"/>
      <c r="K211" s="74">
        <f t="shared" si="108"/>
        <v>0</v>
      </c>
      <c r="L211" s="75"/>
      <c r="M211" s="70"/>
      <c r="N211" s="76">
        <f t="shared" si="112"/>
        <v>0</v>
      </c>
      <c r="O211" s="77"/>
      <c r="P211" s="74">
        <f t="shared" si="109"/>
        <v>0</v>
      </c>
      <c r="Q211" s="70"/>
      <c r="R211" s="76"/>
      <c r="S211" s="77"/>
      <c r="T211" s="74">
        <f t="shared" si="110"/>
        <v>0</v>
      </c>
      <c r="U211" s="78"/>
      <c r="V211" s="74">
        <f t="shared" si="106"/>
        <v>0</v>
      </c>
      <c r="W211" s="79">
        <f t="shared" si="107"/>
        <v>0</v>
      </c>
      <c r="X211" s="80"/>
    </row>
    <row r="212" spans="1:24" ht="15" thickBot="1" x14ac:dyDescent="0.35">
      <c r="A212" s="80">
        <f t="shared" si="113"/>
        <v>205</v>
      </c>
      <c r="B212" s="80"/>
      <c r="C212" s="232" t="str">
        <f>IFERROR(VLOOKUP(B212,'Importer Data Fields'!C:D,2,0),"")</f>
        <v/>
      </c>
      <c r="D212" s="70"/>
      <c r="E212" s="71"/>
      <c r="F212" s="72"/>
      <c r="G212" s="70"/>
      <c r="H212" s="71"/>
      <c r="I212" s="73" t="s">
        <v>256</v>
      </c>
      <c r="J212" s="70"/>
      <c r="K212" s="74">
        <f t="shared" si="108"/>
        <v>0</v>
      </c>
      <c r="L212" s="75"/>
      <c r="M212" s="70"/>
      <c r="N212" s="76">
        <f t="shared" si="112"/>
        <v>0</v>
      </c>
      <c r="O212" s="77"/>
      <c r="P212" s="74">
        <f t="shared" si="109"/>
        <v>0</v>
      </c>
      <c r="Q212" s="70"/>
      <c r="R212" s="76"/>
      <c r="S212" s="77"/>
      <c r="T212" s="74">
        <f t="shared" si="110"/>
        <v>0</v>
      </c>
      <c r="U212" s="78"/>
      <c r="V212" s="74">
        <f t="shared" si="106"/>
        <v>0</v>
      </c>
      <c r="W212" s="79">
        <f t="shared" si="107"/>
        <v>0</v>
      </c>
      <c r="X212" s="80"/>
    </row>
    <row r="213" spans="1:24" ht="15" thickBot="1" x14ac:dyDescent="0.35">
      <c r="A213" s="80">
        <f t="shared" si="113"/>
        <v>206</v>
      </c>
      <c r="B213" s="80"/>
      <c r="C213" s="232" t="str">
        <f>IFERROR(VLOOKUP(B213,'Importer Data Fields'!C:D,2,0),"")</f>
        <v/>
      </c>
      <c r="D213" s="70"/>
      <c r="E213" s="71"/>
      <c r="F213" s="72"/>
      <c r="G213" s="70"/>
      <c r="H213" s="71"/>
      <c r="I213" s="73" t="s">
        <v>256</v>
      </c>
      <c r="J213" s="70"/>
      <c r="K213" s="74">
        <f t="shared" si="108"/>
        <v>0</v>
      </c>
      <c r="L213" s="75"/>
      <c r="M213" s="70"/>
      <c r="N213" s="76">
        <f t="shared" si="112"/>
        <v>0</v>
      </c>
      <c r="O213" s="77"/>
      <c r="P213" s="74">
        <f t="shared" si="109"/>
        <v>0</v>
      </c>
      <c r="Q213" s="70"/>
      <c r="R213" s="76"/>
      <c r="S213" s="77"/>
      <c r="T213" s="74">
        <f t="shared" si="110"/>
        <v>0</v>
      </c>
      <c r="U213" s="78"/>
      <c r="V213" s="74">
        <f t="shared" si="106"/>
        <v>0</v>
      </c>
      <c r="W213" s="79">
        <f t="shared" si="107"/>
        <v>0</v>
      </c>
      <c r="X213" s="91"/>
    </row>
    <row r="214" spans="1:24" ht="15" thickBot="1" x14ac:dyDescent="0.35">
      <c r="A214" s="80">
        <f t="shared" si="113"/>
        <v>207</v>
      </c>
      <c r="B214" s="80"/>
      <c r="C214" s="232" t="str">
        <f>IFERROR(VLOOKUP(B214,'Importer Data Fields'!C:D,2,0),"")</f>
        <v/>
      </c>
      <c r="D214" s="70"/>
      <c r="E214" s="71"/>
      <c r="F214" s="72"/>
      <c r="G214" s="70"/>
      <c r="H214" s="71"/>
      <c r="I214" s="73" t="s">
        <v>238</v>
      </c>
      <c r="J214" s="70"/>
      <c r="K214" s="74">
        <f t="shared" si="108"/>
        <v>0</v>
      </c>
      <c r="L214" s="75"/>
      <c r="M214" s="70"/>
      <c r="N214" s="76">
        <f t="shared" si="112"/>
        <v>0</v>
      </c>
      <c r="O214" s="77"/>
      <c r="P214" s="74">
        <f t="shared" si="109"/>
        <v>0</v>
      </c>
      <c r="Q214" s="70"/>
      <c r="R214" s="76"/>
      <c r="S214" s="77"/>
      <c r="T214" s="74">
        <f t="shared" si="110"/>
        <v>0</v>
      </c>
      <c r="U214" s="78"/>
      <c r="V214" s="74">
        <f t="shared" si="106"/>
        <v>0</v>
      </c>
      <c r="W214" s="79">
        <f t="shared" si="107"/>
        <v>0</v>
      </c>
      <c r="X214" s="80"/>
    </row>
    <row r="215" spans="1:24" ht="15" thickBot="1" x14ac:dyDescent="0.35">
      <c r="A215" s="80">
        <f t="shared" si="113"/>
        <v>208</v>
      </c>
      <c r="B215" s="80"/>
      <c r="C215" s="232" t="str">
        <f>IFERROR(VLOOKUP(B215,'Importer Data Fields'!C:D,2,0),"")</f>
        <v/>
      </c>
      <c r="D215" s="70"/>
      <c r="E215" s="71"/>
      <c r="F215" s="72"/>
      <c r="G215" s="70"/>
      <c r="H215" s="71"/>
      <c r="I215" s="73" t="s">
        <v>256</v>
      </c>
      <c r="J215" s="70"/>
      <c r="K215" s="74">
        <f t="shared" si="108"/>
        <v>0</v>
      </c>
      <c r="L215" s="75"/>
      <c r="M215" s="70"/>
      <c r="N215" s="76">
        <f t="shared" si="112"/>
        <v>0</v>
      </c>
      <c r="O215" s="77"/>
      <c r="P215" s="74">
        <f t="shared" si="109"/>
        <v>0</v>
      </c>
      <c r="Q215" s="70"/>
      <c r="R215" s="76"/>
      <c r="S215" s="77"/>
      <c r="T215" s="74">
        <f t="shared" si="110"/>
        <v>0</v>
      </c>
      <c r="U215" s="78"/>
      <c r="V215" s="74">
        <f t="shared" si="106"/>
        <v>0</v>
      </c>
      <c r="W215" s="79">
        <f t="shared" si="107"/>
        <v>0</v>
      </c>
      <c r="X215" s="80"/>
    </row>
    <row r="216" spans="1:24" ht="15" thickBot="1" x14ac:dyDescent="0.35">
      <c r="A216" s="80">
        <f t="shared" si="113"/>
        <v>209</v>
      </c>
      <c r="B216" s="80"/>
      <c r="C216" s="232" t="str">
        <f>IFERROR(VLOOKUP(B216,'Importer Data Fields'!C:D,2,0),"")</f>
        <v/>
      </c>
      <c r="D216" s="70"/>
      <c r="E216" s="71"/>
      <c r="F216" s="72"/>
      <c r="G216" s="70"/>
      <c r="H216" s="71"/>
      <c r="I216" s="73"/>
      <c r="J216" s="70"/>
      <c r="K216" s="74">
        <f t="shared" si="108"/>
        <v>0</v>
      </c>
      <c r="L216" s="75"/>
      <c r="M216" s="70"/>
      <c r="N216" s="76">
        <f t="shared" si="112"/>
        <v>0</v>
      </c>
      <c r="O216" s="77"/>
      <c r="P216" s="74">
        <f t="shared" si="109"/>
        <v>0</v>
      </c>
      <c r="Q216" s="70"/>
      <c r="R216" s="76"/>
      <c r="S216" s="77"/>
      <c r="T216" s="74">
        <f t="shared" si="110"/>
        <v>0</v>
      </c>
      <c r="U216" s="78"/>
      <c r="V216" s="74">
        <f t="shared" si="106"/>
        <v>0</v>
      </c>
      <c r="W216" s="79">
        <f t="shared" si="107"/>
        <v>0</v>
      </c>
      <c r="X216" s="80"/>
    </row>
    <row r="217" spans="1:24" ht="15" thickBot="1" x14ac:dyDescent="0.35">
      <c r="A217" s="80">
        <f t="shared" si="113"/>
        <v>210</v>
      </c>
      <c r="B217" s="80"/>
      <c r="C217" s="232" t="str">
        <f>IFERROR(VLOOKUP(B217,'Importer Data Fields'!C:D,2,0),"")</f>
        <v/>
      </c>
      <c r="D217" s="70"/>
      <c r="E217" s="71"/>
      <c r="F217" s="72"/>
      <c r="G217" s="70"/>
      <c r="H217" s="71"/>
      <c r="I217" s="73"/>
      <c r="J217" s="70"/>
      <c r="K217" s="74">
        <f t="shared" si="108"/>
        <v>0</v>
      </c>
      <c r="L217" s="75"/>
      <c r="M217" s="70"/>
      <c r="N217" s="76">
        <f t="shared" si="112"/>
        <v>0</v>
      </c>
      <c r="O217" s="77"/>
      <c r="P217" s="74">
        <f t="shared" si="109"/>
        <v>0</v>
      </c>
      <c r="Q217" s="70"/>
      <c r="R217" s="76"/>
      <c r="S217" s="77"/>
      <c r="T217" s="74">
        <f t="shared" si="110"/>
        <v>0</v>
      </c>
      <c r="U217" s="78"/>
      <c r="V217" s="74">
        <f t="shared" si="106"/>
        <v>0</v>
      </c>
      <c r="W217" s="79">
        <f t="shared" si="107"/>
        <v>0</v>
      </c>
      <c r="X217" s="80"/>
    </row>
    <row r="218" spans="1:24" ht="15" thickBot="1" x14ac:dyDescent="0.35">
      <c r="A218" s="80">
        <f t="shared" si="113"/>
        <v>211</v>
      </c>
      <c r="B218" s="80"/>
      <c r="C218" s="232" t="str">
        <f>IFERROR(VLOOKUP(B218,'Importer Data Fields'!C:D,2,0),"")</f>
        <v/>
      </c>
      <c r="D218" s="70"/>
      <c r="E218" s="71"/>
      <c r="F218" s="72"/>
      <c r="G218" s="70"/>
      <c r="H218" s="71"/>
      <c r="I218" s="73" t="s">
        <v>238</v>
      </c>
      <c r="J218" s="70"/>
      <c r="K218" s="74">
        <f t="shared" si="108"/>
        <v>0</v>
      </c>
      <c r="L218" s="75"/>
      <c r="M218" s="70"/>
      <c r="N218" s="76">
        <f t="shared" si="112"/>
        <v>0</v>
      </c>
      <c r="O218" s="77"/>
      <c r="P218" s="74">
        <f t="shared" si="109"/>
        <v>0</v>
      </c>
      <c r="Q218" s="70"/>
      <c r="R218" s="76"/>
      <c r="S218" s="77"/>
      <c r="T218" s="74">
        <f t="shared" si="110"/>
        <v>0</v>
      </c>
      <c r="U218" s="78"/>
      <c r="V218" s="74">
        <f t="shared" si="106"/>
        <v>0</v>
      </c>
      <c r="W218" s="79">
        <f t="shared" si="107"/>
        <v>0</v>
      </c>
      <c r="X218" s="80"/>
    </row>
    <row r="219" spans="1:24" ht="15" thickBot="1" x14ac:dyDescent="0.35">
      <c r="A219" s="80">
        <f t="shared" si="113"/>
        <v>212</v>
      </c>
      <c r="B219" s="80"/>
      <c r="C219" s="232" t="str">
        <f>IFERROR(VLOOKUP(B219,'Importer Data Fields'!C:D,2,0),"")</f>
        <v/>
      </c>
      <c r="D219" s="70"/>
      <c r="E219" s="71"/>
      <c r="F219" s="72"/>
      <c r="G219" s="70"/>
      <c r="H219" s="71"/>
      <c r="I219" s="73" t="s">
        <v>238</v>
      </c>
      <c r="J219" s="70"/>
      <c r="K219" s="74">
        <f t="shared" si="108"/>
        <v>0</v>
      </c>
      <c r="L219" s="75"/>
      <c r="M219" s="70"/>
      <c r="N219" s="76">
        <f t="shared" si="112"/>
        <v>0</v>
      </c>
      <c r="O219" s="77"/>
      <c r="P219" s="74">
        <f t="shared" si="109"/>
        <v>0</v>
      </c>
      <c r="Q219" s="70"/>
      <c r="R219" s="76"/>
      <c r="S219" s="77"/>
      <c r="T219" s="74">
        <f t="shared" si="110"/>
        <v>0</v>
      </c>
      <c r="U219" s="78"/>
      <c r="V219" s="74">
        <f t="shared" si="106"/>
        <v>0</v>
      </c>
      <c r="W219" s="79">
        <f t="shared" si="107"/>
        <v>0</v>
      </c>
      <c r="X219" s="80"/>
    </row>
    <row r="220" spans="1:24" ht="15" thickBot="1" x14ac:dyDescent="0.35">
      <c r="A220" s="80">
        <f t="shared" si="113"/>
        <v>213</v>
      </c>
      <c r="B220" s="80"/>
      <c r="C220" s="232" t="str">
        <f>IFERROR(VLOOKUP(B220,'Importer Data Fields'!C:D,2,0),"")</f>
        <v/>
      </c>
      <c r="D220" s="70"/>
      <c r="E220" s="71"/>
      <c r="F220" s="72"/>
      <c r="G220" s="70"/>
      <c r="H220" s="71"/>
      <c r="I220" s="73"/>
      <c r="J220" s="70"/>
      <c r="K220" s="74">
        <f t="shared" si="108"/>
        <v>0</v>
      </c>
      <c r="L220" s="75"/>
      <c r="M220" s="70"/>
      <c r="N220" s="76">
        <f t="shared" si="112"/>
        <v>0</v>
      </c>
      <c r="O220" s="77"/>
      <c r="P220" s="74">
        <f t="shared" si="109"/>
        <v>0</v>
      </c>
      <c r="Q220" s="70"/>
      <c r="R220" s="76"/>
      <c r="S220" s="77"/>
      <c r="T220" s="74">
        <f t="shared" si="110"/>
        <v>0</v>
      </c>
      <c r="U220" s="78"/>
      <c r="V220" s="74">
        <f t="shared" si="106"/>
        <v>0</v>
      </c>
      <c r="W220" s="79">
        <f t="shared" si="107"/>
        <v>0</v>
      </c>
      <c r="X220" s="80"/>
    </row>
    <row r="221" spans="1:24" ht="15" thickBot="1" x14ac:dyDescent="0.35">
      <c r="A221" s="80">
        <f t="shared" si="113"/>
        <v>214</v>
      </c>
      <c r="B221" s="80"/>
      <c r="C221" s="232" t="str">
        <f>IFERROR(VLOOKUP(B221,'Importer Data Fields'!C:D,2,0),"")</f>
        <v/>
      </c>
      <c r="D221" s="70"/>
      <c r="E221" s="71"/>
      <c r="F221" s="72"/>
      <c r="G221" s="70"/>
      <c r="H221" s="71"/>
      <c r="I221" s="73"/>
      <c r="J221" s="70"/>
      <c r="K221" s="74">
        <f t="shared" si="108"/>
        <v>0</v>
      </c>
      <c r="L221" s="75"/>
      <c r="M221" s="70"/>
      <c r="N221" s="76">
        <f t="shared" si="112"/>
        <v>0</v>
      </c>
      <c r="O221" s="77"/>
      <c r="P221" s="74">
        <f t="shared" si="109"/>
        <v>0</v>
      </c>
      <c r="Q221" s="70"/>
      <c r="R221" s="76"/>
      <c r="S221" s="77"/>
      <c r="T221" s="74">
        <f t="shared" si="110"/>
        <v>0</v>
      </c>
      <c r="U221" s="78"/>
      <c r="V221" s="74">
        <f t="shared" si="106"/>
        <v>0</v>
      </c>
      <c r="W221" s="79">
        <f t="shared" si="107"/>
        <v>0</v>
      </c>
      <c r="X221" s="80"/>
    </row>
    <row r="222" spans="1:24" ht="15" thickBot="1" x14ac:dyDescent="0.35">
      <c r="A222" s="80">
        <f t="shared" si="113"/>
        <v>215</v>
      </c>
      <c r="B222" s="80"/>
      <c r="C222" s="232" t="str">
        <f>IFERROR(VLOOKUP(B222,'Importer Data Fields'!C:D,2,0),"")</f>
        <v/>
      </c>
      <c r="D222" s="144"/>
      <c r="E222" s="71"/>
      <c r="F222" s="72"/>
      <c r="G222" s="70"/>
      <c r="H222" s="71"/>
      <c r="I222" s="73"/>
      <c r="J222" s="70"/>
      <c r="K222" s="74">
        <f t="shared" si="108"/>
        <v>0</v>
      </c>
      <c r="L222" s="75"/>
      <c r="M222" s="70"/>
      <c r="N222" s="76">
        <f t="shared" si="112"/>
        <v>0</v>
      </c>
      <c r="O222" s="77"/>
      <c r="P222" s="74">
        <f t="shared" si="109"/>
        <v>0</v>
      </c>
      <c r="Q222" s="70"/>
      <c r="R222" s="76"/>
      <c r="S222" s="77"/>
      <c r="T222" s="74">
        <f t="shared" si="110"/>
        <v>0</v>
      </c>
      <c r="U222" s="78"/>
      <c r="V222" s="74">
        <f t="shared" si="106"/>
        <v>0</v>
      </c>
      <c r="W222" s="79">
        <f t="shared" si="107"/>
        <v>0</v>
      </c>
      <c r="X222" s="80"/>
    </row>
    <row r="223" spans="1:24" ht="15" thickBot="1" x14ac:dyDescent="0.35">
      <c r="A223" s="80">
        <f t="shared" si="113"/>
        <v>216</v>
      </c>
      <c r="B223" s="80" t="s">
        <v>312</v>
      </c>
      <c r="C223" s="232" t="str">
        <f>IFERROR(VLOOKUP(B223,'Importer Data Fields'!C:D,2,0),"")</f>
        <v>Interior Lighting</v>
      </c>
      <c r="D223" s="144"/>
      <c r="E223" s="71"/>
      <c r="F223" s="72"/>
      <c r="G223" s="70"/>
      <c r="H223" s="71"/>
      <c r="I223" s="73" t="s">
        <v>256</v>
      </c>
      <c r="J223" s="70"/>
      <c r="K223" s="74">
        <f t="shared" si="108"/>
        <v>0</v>
      </c>
      <c r="L223" s="75"/>
      <c r="M223" s="70"/>
      <c r="N223" s="76">
        <f t="shared" si="112"/>
        <v>0</v>
      </c>
      <c r="O223" s="77"/>
      <c r="P223" s="74">
        <f t="shared" si="109"/>
        <v>0</v>
      </c>
      <c r="Q223" s="70"/>
      <c r="R223" s="76"/>
      <c r="S223" s="77"/>
      <c r="T223" s="74">
        <f t="shared" si="110"/>
        <v>0</v>
      </c>
      <c r="U223" s="78"/>
      <c r="V223" s="74">
        <f t="shared" si="106"/>
        <v>0</v>
      </c>
      <c r="W223" s="79">
        <f t="shared" si="107"/>
        <v>0</v>
      </c>
      <c r="X223" s="80"/>
    </row>
    <row r="224" spans="1:24" ht="15" thickBot="1" x14ac:dyDescent="0.35">
      <c r="A224" s="80">
        <f t="shared" si="113"/>
        <v>217</v>
      </c>
      <c r="B224" s="80"/>
      <c r="C224" s="232" t="str">
        <f>IFERROR(VLOOKUP(B224,'Importer Data Fields'!C:D,2,0),"")</f>
        <v/>
      </c>
      <c r="D224" s="144"/>
      <c r="E224" s="71"/>
      <c r="F224" s="72"/>
      <c r="G224" s="70"/>
      <c r="H224" s="71"/>
      <c r="I224" s="73" t="s">
        <v>313</v>
      </c>
      <c r="J224" s="70"/>
      <c r="K224" s="74">
        <f t="shared" si="108"/>
        <v>0</v>
      </c>
      <c r="L224" s="75"/>
      <c r="M224" s="70"/>
      <c r="N224" s="76">
        <f t="shared" si="112"/>
        <v>0</v>
      </c>
      <c r="O224" s="77"/>
      <c r="P224" s="74">
        <f t="shared" si="109"/>
        <v>0</v>
      </c>
      <c r="Q224" s="70"/>
      <c r="R224" s="76"/>
      <c r="S224" s="77"/>
      <c r="T224" s="74">
        <f t="shared" si="110"/>
        <v>0</v>
      </c>
      <c r="U224" s="78"/>
      <c r="V224" s="74">
        <f t="shared" si="106"/>
        <v>0</v>
      </c>
      <c r="W224" s="79">
        <f t="shared" si="107"/>
        <v>0</v>
      </c>
      <c r="X224" s="80"/>
    </row>
    <row r="225" spans="1:25" ht="15" thickBot="1" x14ac:dyDescent="0.35">
      <c r="A225" s="80">
        <f t="shared" si="113"/>
        <v>218</v>
      </c>
      <c r="B225" s="80" t="s">
        <v>312</v>
      </c>
      <c r="C225" s="232" t="str">
        <f>IFERROR(VLOOKUP(B225,'Importer Data Fields'!C:D,2,0),"")</f>
        <v>Interior Lighting</v>
      </c>
      <c r="D225" s="144"/>
      <c r="E225" s="71"/>
      <c r="F225" s="72"/>
      <c r="G225" s="70"/>
      <c r="H225" s="71"/>
      <c r="I225" s="73" t="s">
        <v>256</v>
      </c>
      <c r="J225" s="70"/>
      <c r="K225" s="74">
        <f t="shared" si="108"/>
        <v>0</v>
      </c>
      <c r="L225" s="75"/>
      <c r="M225" s="70"/>
      <c r="N225" s="76">
        <f t="shared" si="112"/>
        <v>0</v>
      </c>
      <c r="O225" s="77"/>
      <c r="P225" s="74">
        <f t="shared" si="109"/>
        <v>0</v>
      </c>
      <c r="Q225" s="70"/>
      <c r="R225" s="76"/>
      <c r="S225" s="77"/>
      <c r="T225" s="74">
        <f t="shared" si="110"/>
        <v>0</v>
      </c>
      <c r="U225" s="78"/>
      <c r="V225" s="74">
        <f t="shared" si="106"/>
        <v>0</v>
      </c>
      <c r="W225" s="79">
        <f t="shared" si="107"/>
        <v>0</v>
      </c>
      <c r="X225" s="80"/>
    </row>
    <row r="226" spans="1:25" ht="15" thickBot="1" x14ac:dyDescent="0.35">
      <c r="A226" s="80">
        <f t="shared" si="113"/>
        <v>219</v>
      </c>
      <c r="B226" s="80" t="s">
        <v>312</v>
      </c>
      <c r="C226" s="232" t="str">
        <f>IFERROR(VLOOKUP(B226,'Importer Data Fields'!C:D,2,0),"")</f>
        <v>Interior Lighting</v>
      </c>
      <c r="D226" s="144"/>
      <c r="E226" s="71"/>
      <c r="F226" s="72"/>
      <c r="G226" s="70"/>
      <c r="H226" s="71"/>
      <c r="I226" s="73" t="s">
        <v>238</v>
      </c>
      <c r="J226" s="70"/>
      <c r="K226" s="74">
        <f t="shared" si="108"/>
        <v>0</v>
      </c>
      <c r="L226" s="75"/>
      <c r="M226" s="70"/>
      <c r="N226" s="76">
        <f t="shared" si="112"/>
        <v>0</v>
      </c>
      <c r="O226" s="77"/>
      <c r="P226" s="74">
        <f t="shared" si="109"/>
        <v>0</v>
      </c>
      <c r="Q226" s="70"/>
      <c r="R226" s="76"/>
      <c r="S226" s="77"/>
      <c r="T226" s="74">
        <f t="shared" si="110"/>
        <v>0</v>
      </c>
      <c r="U226" s="78"/>
      <c r="V226" s="74">
        <f t="shared" si="106"/>
        <v>0</v>
      </c>
      <c r="W226" s="79">
        <f t="shared" si="107"/>
        <v>0</v>
      </c>
      <c r="X226" s="80"/>
    </row>
    <row r="227" spans="1:25" ht="15" thickBot="1" x14ac:dyDescent="0.35">
      <c r="A227" s="80">
        <f t="shared" si="113"/>
        <v>220</v>
      </c>
      <c r="B227" s="80"/>
      <c r="C227" s="232" t="str">
        <f>IFERROR(VLOOKUP(B227,'Importer Data Fields'!C:D,2,0),"")</f>
        <v/>
      </c>
      <c r="D227" s="144"/>
      <c r="E227" s="71"/>
      <c r="F227" s="72"/>
      <c r="G227" s="70"/>
      <c r="H227" s="71"/>
      <c r="I227" s="73" t="s">
        <v>238</v>
      </c>
      <c r="J227" s="70"/>
      <c r="K227" s="74">
        <f t="shared" si="108"/>
        <v>0</v>
      </c>
      <c r="L227" s="75"/>
      <c r="M227" s="70"/>
      <c r="N227" s="76">
        <f t="shared" si="112"/>
        <v>0</v>
      </c>
      <c r="O227" s="77"/>
      <c r="P227" s="74">
        <f t="shared" si="109"/>
        <v>0</v>
      </c>
      <c r="Q227" s="70"/>
      <c r="R227" s="76"/>
      <c r="S227" s="77"/>
      <c r="T227" s="74">
        <f t="shared" si="110"/>
        <v>0</v>
      </c>
      <c r="U227" s="78"/>
      <c r="V227" s="74">
        <f t="shared" si="106"/>
        <v>0</v>
      </c>
      <c r="W227" s="79">
        <f t="shared" si="107"/>
        <v>0</v>
      </c>
      <c r="X227" s="80"/>
    </row>
    <row r="228" spans="1:25" ht="15" thickBot="1" x14ac:dyDescent="0.35">
      <c r="A228" s="80">
        <f t="shared" si="113"/>
        <v>221</v>
      </c>
      <c r="B228" s="80"/>
      <c r="C228" s="232" t="str">
        <f>IFERROR(VLOOKUP(B228,'Importer Data Fields'!C:D,2,0),"")</f>
        <v/>
      </c>
      <c r="D228" s="144"/>
      <c r="E228" s="71"/>
      <c r="F228" s="72"/>
      <c r="G228" s="70"/>
      <c r="H228" s="71"/>
      <c r="I228" s="73"/>
      <c r="J228" s="70"/>
      <c r="K228" s="74">
        <f t="shared" si="108"/>
        <v>0</v>
      </c>
      <c r="L228" s="75"/>
      <c r="M228" s="70"/>
      <c r="N228" s="76">
        <f t="shared" si="112"/>
        <v>0</v>
      </c>
      <c r="O228" s="77"/>
      <c r="P228" s="74">
        <f t="shared" si="109"/>
        <v>0</v>
      </c>
      <c r="Q228" s="70"/>
      <c r="R228" s="76"/>
      <c r="S228" s="77"/>
      <c r="T228" s="74">
        <f t="shared" si="110"/>
        <v>0</v>
      </c>
      <c r="U228" s="78"/>
      <c r="V228" s="74">
        <f t="shared" si="106"/>
        <v>0</v>
      </c>
      <c r="W228" s="79">
        <f t="shared" si="107"/>
        <v>0</v>
      </c>
      <c r="X228" s="80"/>
    </row>
    <row r="229" spans="1:25" ht="15" thickBot="1" x14ac:dyDescent="0.35">
      <c r="A229" s="80">
        <f t="shared" si="113"/>
        <v>222</v>
      </c>
      <c r="B229" s="231"/>
      <c r="C229" s="232" t="str">
        <f>IFERROR(VLOOKUP(B229,'Importer Data Fields'!C:D,2,0),"")</f>
        <v/>
      </c>
      <c r="D229" s="70"/>
      <c r="E229" s="71"/>
      <c r="F229" s="72"/>
      <c r="G229" s="70"/>
      <c r="H229" s="71"/>
      <c r="I229" s="73"/>
      <c r="J229" s="70"/>
      <c r="K229" s="74">
        <f t="shared" si="108"/>
        <v>0</v>
      </c>
      <c r="L229" s="75"/>
      <c r="M229" s="70"/>
      <c r="N229" s="76">
        <f t="shared" si="112"/>
        <v>0</v>
      </c>
      <c r="O229" s="77"/>
      <c r="P229" s="74">
        <f t="shared" si="109"/>
        <v>0</v>
      </c>
      <c r="Q229" s="70"/>
      <c r="R229" s="76"/>
      <c r="S229" s="77"/>
      <c r="T229" s="74">
        <f t="shared" si="110"/>
        <v>0</v>
      </c>
      <c r="U229" s="78"/>
      <c r="V229" s="74">
        <f t="shared" si="106"/>
        <v>0</v>
      </c>
      <c r="W229" s="79">
        <f t="shared" si="107"/>
        <v>0</v>
      </c>
      <c r="X229" s="80"/>
    </row>
    <row r="230" spans="1:25" ht="15" thickBot="1" x14ac:dyDescent="0.35">
      <c r="A230" s="229">
        <f t="shared" si="113"/>
        <v>223</v>
      </c>
      <c r="B230" s="314" t="s">
        <v>314</v>
      </c>
      <c r="C230" s="315"/>
      <c r="D230" s="230"/>
      <c r="E230" s="168"/>
      <c r="F230" s="169"/>
      <c r="G230" s="167"/>
      <c r="H230" s="168"/>
      <c r="I230" s="170"/>
      <c r="J230" s="167"/>
      <c r="K230" s="171">
        <f t="shared" si="108"/>
        <v>0</v>
      </c>
      <c r="L230" s="172"/>
      <c r="M230" s="167"/>
      <c r="N230" s="173">
        <f t="shared" si="112"/>
        <v>0</v>
      </c>
      <c r="O230" s="174"/>
      <c r="P230" s="171">
        <f t="shared" si="109"/>
        <v>0</v>
      </c>
      <c r="Q230" s="167"/>
      <c r="R230" s="173"/>
      <c r="S230" s="174"/>
      <c r="T230" s="171">
        <f t="shared" si="110"/>
        <v>0</v>
      </c>
      <c r="U230" s="175"/>
      <c r="V230" s="171">
        <f t="shared" si="106"/>
        <v>0</v>
      </c>
      <c r="W230" s="176">
        <f t="shared" si="107"/>
        <v>0</v>
      </c>
      <c r="X230" s="165"/>
      <c r="Y230" s="179"/>
    </row>
    <row r="231" spans="1:25" ht="15" thickBot="1" x14ac:dyDescent="0.35">
      <c r="A231" s="80">
        <f t="shared" si="113"/>
        <v>224</v>
      </c>
      <c r="B231" s="232"/>
      <c r="C231" s="232" t="str">
        <f>IFERROR(VLOOKUP(B231,'Importer Data Fields'!C:D,2,0),"")</f>
        <v/>
      </c>
      <c r="D231" s="70"/>
      <c r="E231" s="71"/>
      <c r="F231" s="72"/>
      <c r="G231" s="70"/>
      <c r="H231" s="71"/>
      <c r="I231" s="73"/>
      <c r="J231" s="70"/>
      <c r="K231" s="74">
        <f t="shared" si="108"/>
        <v>0</v>
      </c>
      <c r="L231" s="75"/>
      <c r="M231" s="70"/>
      <c r="N231" s="76">
        <f t="shared" si="112"/>
        <v>0</v>
      </c>
      <c r="O231" s="77"/>
      <c r="P231" s="74">
        <f t="shared" si="109"/>
        <v>0</v>
      </c>
      <c r="Q231" s="70"/>
      <c r="R231" s="76"/>
      <c r="S231" s="77"/>
      <c r="T231" s="74">
        <f t="shared" si="110"/>
        <v>0</v>
      </c>
      <c r="U231" s="78"/>
      <c r="V231" s="74">
        <f t="shared" si="106"/>
        <v>0</v>
      </c>
      <c r="W231" s="79">
        <f t="shared" si="107"/>
        <v>0</v>
      </c>
      <c r="X231" s="80"/>
    </row>
    <row r="232" spans="1:25" ht="15" thickBot="1" x14ac:dyDescent="0.35">
      <c r="A232" s="80">
        <f t="shared" si="113"/>
        <v>225</v>
      </c>
      <c r="B232" s="80"/>
      <c r="C232" s="232" t="str">
        <f>IFERROR(VLOOKUP(B232,'Importer Data Fields'!C:D,2,0),"")</f>
        <v/>
      </c>
      <c r="D232" s="70"/>
      <c r="E232" s="71"/>
      <c r="F232" s="72"/>
      <c r="G232" s="70"/>
      <c r="H232" s="71"/>
      <c r="I232" s="73"/>
      <c r="J232" s="70"/>
      <c r="K232" s="74">
        <f t="shared" si="108"/>
        <v>0</v>
      </c>
      <c r="L232" s="75"/>
      <c r="M232" s="70"/>
      <c r="N232" s="76">
        <f t="shared" si="112"/>
        <v>0</v>
      </c>
      <c r="O232" s="77"/>
      <c r="P232" s="74">
        <f t="shared" si="109"/>
        <v>0</v>
      </c>
      <c r="Q232" s="70"/>
      <c r="R232" s="76"/>
      <c r="S232" s="77"/>
      <c r="T232" s="74">
        <f t="shared" si="110"/>
        <v>0</v>
      </c>
      <c r="U232" s="78"/>
      <c r="V232" s="74">
        <f t="shared" si="106"/>
        <v>0</v>
      </c>
      <c r="W232" s="79">
        <f t="shared" si="107"/>
        <v>0</v>
      </c>
      <c r="X232" s="80"/>
    </row>
    <row r="233" spans="1:25" ht="15" thickBot="1" x14ac:dyDescent="0.35">
      <c r="A233" s="80">
        <f t="shared" si="113"/>
        <v>226</v>
      </c>
      <c r="B233" s="80"/>
      <c r="C233" s="232" t="str">
        <f>IFERROR(VLOOKUP(B233,'Importer Data Fields'!C:D,2,0),"")</f>
        <v/>
      </c>
      <c r="D233" s="70"/>
      <c r="E233" s="71"/>
      <c r="F233" s="72"/>
      <c r="G233" s="70"/>
      <c r="H233" s="71"/>
      <c r="I233" s="73"/>
      <c r="J233" s="70"/>
      <c r="K233" s="74">
        <f t="shared" si="108"/>
        <v>0</v>
      </c>
      <c r="L233" s="75"/>
      <c r="M233" s="70"/>
      <c r="N233" s="76">
        <f t="shared" si="112"/>
        <v>0</v>
      </c>
      <c r="O233" s="77"/>
      <c r="P233" s="74">
        <f t="shared" si="109"/>
        <v>0</v>
      </c>
      <c r="Q233" s="70"/>
      <c r="R233" s="76"/>
      <c r="S233" s="77"/>
      <c r="T233" s="74">
        <f t="shared" si="110"/>
        <v>0</v>
      </c>
      <c r="U233" s="78"/>
      <c r="V233" s="74">
        <f t="shared" si="106"/>
        <v>0</v>
      </c>
      <c r="W233" s="79">
        <f t="shared" si="107"/>
        <v>0</v>
      </c>
      <c r="X233" s="80"/>
    </row>
    <row r="234" spans="1:25" ht="15" thickBot="1" x14ac:dyDescent="0.35">
      <c r="A234" s="80">
        <f t="shared" si="113"/>
        <v>227</v>
      </c>
      <c r="B234" s="80"/>
      <c r="C234" s="232" t="str">
        <f>IFERROR(VLOOKUP(B234,'Importer Data Fields'!C:D,2,0),"")</f>
        <v/>
      </c>
      <c r="D234" s="70"/>
      <c r="E234" s="71"/>
      <c r="F234" s="72"/>
      <c r="G234" s="70"/>
      <c r="H234" s="71"/>
      <c r="I234" s="73"/>
      <c r="J234" s="70"/>
      <c r="K234" s="74">
        <f t="shared" si="108"/>
        <v>0</v>
      </c>
      <c r="L234" s="75"/>
      <c r="M234" s="70"/>
      <c r="N234" s="76">
        <f t="shared" si="112"/>
        <v>0</v>
      </c>
      <c r="O234" s="77"/>
      <c r="P234" s="74">
        <f t="shared" si="109"/>
        <v>0</v>
      </c>
      <c r="Q234" s="70"/>
      <c r="R234" s="76"/>
      <c r="S234" s="77"/>
      <c r="T234" s="74">
        <f t="shared" si="110"/>
        <v>0</v>
      </c>
      <c r="U234" s="78"/>
      <c r="V234" s="74">
        <f t="shared" si="106"/>
        <v>0</v>
      </c>
      <c r="W234" s="79">
        <f t="shared" si="107"/>
        <v>0</v>
      </c>
      <c r="X234" s="80"/>
    </row>
    <row r="235" spans="1:25" ht="15" thickBot="1" x14ac:dyDescent="0.35">
      <c r="A235" s="80">
        <f t="shared" si="113"/>
        <v>228</v>
      </c>
      <c r="B235" s="80"/>
      <c r="C235" s="232" t="str">
        <f>IFERROR(VLOOKUP(B235,'Importer Data Fields'!C:D,2,0),"")</f>
        <v/>
      </c>
      <c r="D235" s="70"/>
      <c r="E235" s="71"/>
      <c r="F235" s="72"/>
      <c r="G235" s="70"/>
      <c r="H235" s="71"/>
      <c r="I235" s="73"/>
      <c r="J235" s="70"/>
      <c r="K235" s="74">
        <f t="shared" si="108"/>
        <v>0</v>
      </c>
      <c r="L235" s="75"/>
      <c r="M235" s="70"/>
      <c r="N235" s="76">
        <f t="shared" si="112"/>
        <v>0</v>
      </c>
      <c r="O235" s="77"/>
      <c r="P235" s="74">
        <f t="shared" si="109"/>
        <v>0</v>
      </c>
      <c r="Q235" s="70"/>
      <c r="R235" s="76"/>
      <c r="S235" s="77"/>
      <c r="T235" s="74">
        <f t="shared" si="110"/>
        <v>0</v>
      </c>
      <c r="U235" s="78"/>
      <c r="V235" s="74">
        <f t="shared" si="106"/>
        <v>0</v>
      </c>
      <c r="W235" s="79">
        <f t="shared" si="107"/>
        <v>0</v>
      </c>
      <c r="X235" s="80"/>
    </row>
    <row r="236" spans="1:25" ht="15" thickBot="1" x14ac:dyDescent="0.35">
      <c r="A236" s="80">
        <f t="shared" si="113"/>
        <v>229</v>
      </c>
      <c r="B236" s="231"/>
      <c r="C236" s="232" t="str">
        <f>IFERROR(VLOOKUP(B236,'Importer Data Fields'!C:D,2,0),"")</f>
        <v/>
      </c>
      <c r="D236" s="70"/>
      <c r="E236" s="71"/>
      <c r="F236" s="72"/>
      <c r="G236" s="70"/>
      <c r="H236" s="71"/>
      <c r="I236" s="73"/>
      <c r="J236" s="70"/>
      <c r="K236" s="74">
        <f t="shared" si="108"/>
        <v>0</v>
      </c>
      <c r="L236" s="75"/>
      <c r="M236" s="70"/>
      <c r="N236" s="76">
        <f t="shared" si="112"/>
        <v>0</v>
      </c>
      <c r="O236" s="77"/>
      <c r="P236" s="74">
        <f t="shared" si="109"/>
        <v>0</v>
      </c>
      <c r="Q236" s="70"/>
      <c r="R236" s="76"/>
      <c r="S236" s="77"/>
      <c r="T236" s="74">
        <f t="shared" si="110"/>
        <v>0</v>
      </c>
      <c r="U236" s="78"/>
      <c r="V236" s="74">
        <f t="shared" si="106"/>
        <v>0</v>
      </c>
      <c r="W236" s="79">
        <f t="shared" si="107"/>
        <v>0</v>
      </c>
      <c r="X236" s="80"/>
    </row>
    <row r="237" spans="1:25" ht="15" thickBot="1" x14ac:dyDescent="0.35">
      <c r="A237" s="165">
        <f t="shared" si="113"/>
        <v>230</v>
      </c>
      <c r="B237" s="314" t="s">
        <v>315</v>
      </c>
      <c r="C237" s="315"/>
      <c r="D237" s="167"/>
      <c r="E237" s="168"/>
      <c r="F237" s="169"/>
      <c r="G237" s="167"/>
      <c r="H237" s="168"/>
      <c r="I237" s="170"/>
      <c r="J237" s="167"/>
      <c r="K237" s="171">
        <f t="shared" si="108"/>
        <v>0</v>
      </c>
      <c r="L237" s="172"/>
      <c r="M237" s="167"/>
      <c r="N237" s="173">
        <f t="shared" si="112"/>
        <v>0</v>
      </c>
      <c r="O237" s="174"/>
      <c r="P237" s="171">
        <f t="shared" si="109"/>
        <v>0</v>
      </c>
      <c r="Q237" s="167"/>
      <c r="R237" s="173"/>
      <c r="S237" s="174"/>
      <c r="T237" s="171">
        <f t="shared" si="110"/>
        <v>0</v>
      </c>
      <c r="U237" s="175"/>
      <c r="V237" s="171">
        <f t="shared" si="106"/>
        <v>0</v>
      </c>
      <c r="W237" s="176">
        <f t="shared" si="107"/>
        <v>0</v>
      </c>
      <c r="X237" s="165"/>
      <c r="Y237" s="177">
        <f>SUM(W237:W243)</f>
        <v>0</v>
      </c>
    </row>
    <row r="238" spans="1:25" ht="15" thickBot="1" x14ac:dyDescent="0.35">
      <c r="A238" s="80">
        <f t="shared" si="113"/>
        <v>231</v>
      </c>
      <c r="B238" s="232"/>
      <c r="C238" s="232" t="str">
        <f>IFERROR(VLOOKUP(B238,'Importer Data Fields'!C:D,2,0),"")</f>
        <v/>
      </c>
      <c r="D238" s="70"/>
      <c r="E238" s="71"/>
      <c r="F238" s="72"/>
      <c r="G238" s="70"/>
      <c r="H238" s="71"/>
      <c r="I238" s="73" t="s">
        <v>238</v>
      </c>
      <c r="J238" s="70"/>
      <c r="K238" s="74">
        <f t="shared" si="108"/>
        <v>0</v>
      </c>
      <c r="L238" s="75"/>
      <c r="M238" s="70"/>
      <c r="N238" s="76">
        <f t="shared" si="112"/>
        <v>0</v>
      </c>
      <c r="O238" s="77"/>
      <c r="P238" s="74">
        <f t="shared" si="109"/>
        <v>0</v>
      </c>
      <c r="Q238" s="70"/>
      <c r="R238" s="76"/>
      <c r="S238" s="77"/>
      <c r="T238" s="74">
        <f t="shared" si="110"/>
        <v>0</v>
      </c>
      <c r="U238" s="78"/>
      <c r="V238" s="74">
        <f t="shared" si="106"/>
        <v>0</v>
      </c>
      <c r="W238" s="79">
        <f t="shared" si="107"/>
        <v>0</v>
      </c>
      <c r="X238" s="80"/>
    </row>
    <row r="239" spans="1:25" ht="15" thickBot="1" x14ac:dyDescent="0.35">
      <c r="A239" s="80">
        <f t="shared" si="113"/>
        <v>232</v>
      </c>
      <c r="B239" s="80"/>
      <c r="C239" s="232" t="str">
        <f>IFERROR(VLOOKUP(B239,'Importer Data Fields'!C:D,2,0),"")</f>
        <v/>
      </c>
      <c r="D239" s="70"/>
      <c r="E239" s="71"/>
      <c r="F239" s="72"/>
      <c r="G239" s="70"/>
      <c r="H239" s="71"/>
      <c r="I239" s="73" t="s">
        <v>313</v>
      </c>
      <c r="J239" s="70"/>
      <c r="K239" s="74">
        <f t="shared" si="108"/>
        <v>0</v>
      </c>
      <c r="L239" s="75"/>
      <c r="M239" s="70"/>
      <c r="N239" s="76">
        <f t="shared" si="112"/>
        <v>0</v>
      </c>
      <c r="O239" s="77"/>
      <c r="P239" s="74">
        <f t="shared" si="109"/>
        <v>0</v>
      </c>
      <c r="Q239" s="70"/>
      <c r="R239" s="76"/>
      <c r="S239" s="77"/>
      <c r="T239" s="74">
        <f t="shared" si="110"/>
        <v>0</v>
      </c>
      <c r="U239" s="78"/>
      <c r="V239" s="74">
        <f t="shared" si="106"/>
        <v>0</v>
      </c>
      <c r="W239" s="79">
        <f t="shared" si="107"/>
        <v>0</v>
      </c>
      <c r="X239" s="80"/>
    </row>
    <row r="240" spans="1:25" ht="15" thickBot="1" x14ac:dyDescent="0.35">
      <c r="A240" s="80">
        <f t="shared" si="113"/>
        <v>233</v>
      </c>
      <c r="B240" s="80"/>
      <c r="C240" s="232" t="str">
        <f>IFERROR(VLOOKUP(B240,'Importer Data Fields'!C:D,2,0),"")</f>
        <v/>
      </c>
      <c r="D240" s="70"/>
      <c r="E240" s="71"/>
      <c r="F240" s="72"/>
      <c r="G240" s="70"/>
      <c r="H240" s="71"/>
      <c r="I240" s="73"/>
      <c r="J240" s="70"/>
      <c r="K240" s="74">
        <f t="shared" si="108"/>
        <v>0</v>
      </c>
      <c r="L240" s="75"/>
      <c r="M240" s="70"/>
      <c r="N240" s="76">
        <f t="shared" si="112"/>
        <v>0</v>
      </c>
      <c r="O240" s="77"/>
      <c r="P240" s="74">
        <f t="shared" si="109"/>
        <v>0</v>
      </c>
      <c r="Q240" s="70"/>
      <c r="R240" s="76"/>
      <c r="S240" s="77"/>
      <c r="T240" s="74">
        <f t="shared" si="110"/>
        <v>0</v>
      </c>
      <c r="U240" s="78"/>
      <c r="V240" s="74">
        <f t="shared" si="106"/>
        <v>0</v>
      </c>
      <c r="W240" s="79">
        <f t="shared" si="107"/>
        <v>0</v>
      </c>
      <c r="X240" s="80"/>
    </row>
    <row r="241" spans="1:26" ht="15" thickBot="1" x14ac:dyDescent="0.35">
      <c r="A241" s="80">
        <f t="shared" si="113"/>
        <v>234</v>
      </c>
      <c r="B241" s="80"/>
      <c r="C241" s="232" t="str">
        <f>IFERROR(VLOOKUP(B241,'Importer Data Fields'!C:D,2,0),"")</f>
        <v/>
      </c>
      <c r="D241" s="70"/>
      <c r="E241" s="71"/>
      <c r="F241" s="72"/>
      <c r="G241" s="70"/>
      <c r="H241" s="71"/>
      <c r="I241" s="73"/>
      <c r="J241" s="70"/>
      <c r="K241" s="74">
        <f t="shared" si="108"/>
        <v>0</v>
      </c>
      <c r="L241" s="75"/>
      <c r="M241" s="70"/>
      <c r="N241" s="76">
        <f t="shared" si="112"/>
        <v>0</v>
      </c>
      <c r="O241" s="77"/>
      <c r="P241" s="74">
        <f t="shared" si="109"/>
        <v>0</v>
      </c>
      <c r="Q241" s="70"/>
      <c r="R241" s="76"/>
      <c r="S241" s="77"/>
      <c r="T241" s="74">
        <f t="shared" si="110"/>
        <v>0</v>
      </c>
      <c r="U241" s="78"/>
      <c r="V241" s="74">
        <f t="shared" si="106"/>
        <v>0</v>
      </c>
      <c r="W241" s="79">
        <f t="shared" si="107"/>
        <v>0</v>
      </c>
      <c r="X241" s="80"/>
    </row>
    <row r="242" spans="1:26" ht="15" thickBot="1" x14ac:dyDescent="0.35">
      <c r="A242" s="80">
        <f t="shared" si="113"/>
        <v>235</v>
      </c>
      <c r="B242" s="80"/>
      <c r="C242" s="232" t="str">
        <f>IFERROR(VLOOKUP(B242,'Importer Data Fields'!C:D,2,0),"")</f>
        <v/>
      </c>
      <c r="D242" s="70"/>
      <c r="E242" s="71"/>
      <c r="F242" s="72"/>
      <c r="G242" s="70"/>
      <c r="H242" s="71"/>
      <c r="I242" s="73"/>
      <c r="J242" s="70"/>
      <c r="K242" s="74">
        <f t="shared" si="108"/>
        <v>0</v>
      </c>
      <c r="L242" s="75"/>
      <c r="M242" s="70"/>
      <c r="N242" s="76">
        <f t="shared" si="112"/>
        <v>0</v>
      </c>
      <c r="O242" s="77"/>
      <c r="P242" s="74">
        <f t="shared" si="109"/>
        <v>0</v>
      </c>
      <c r="Q242" s="70"/>
      <c r="R242" s="76"/>
      <c r="S242" s="77"/>
      <c r="T242" s="74">
        <f t="shared" si="110"/>
        <v>0</v>
      </c>
      <c r="U242" s="78"/>
      <c r="V242" s="74">
        <f t="shared" ref="V242:V311" si="114">H242*U242</f>
        <v>0</v>
      </c>
      <c r="W242" s="79">
        <f t="shared" ref="W242:W311" si="115">V242+T242+P242+K242</f>
        <v>0</v>
      </c>
      <c r="X242" s="80"/>
    </row>
    <row r="243" spans="1:26" ht="15" thickBot="1" x14ac:dyDescent="0.35">
      <c r="A243" s="80">
        <f t="shared" si="113"/>
        <v>236</v>
      </c>
      <c r="B243" s="231"/>
      <c r="C243" s="232" t="str">
        <f>IFERROR(VLOOKUP(B243,'Importer Data Fields'!C:D,2,0),"")</f>
        <v/>
      </c>
      <c r="D243" s="70"/>
      <c r="E243" s="71"/>
      <c r="F243" s="72"/>
      <c r="G243" s="70"/>
      <c r="H243" s="71"/>
      <c r="I243" s="73"/>
      <c r="J243" s="70"/>
      <c r="K243" s="74">
        <f t="shared" ref="K243:K311" si="116">J243*H243</f>
        <v>0</v>
      </c>
      <c r="L243" s="75"/>
      <c r="M243" s="70"/>
      <c r="N243" s="76">
        <f t="shared" ref="N243:N281" si="117">ROUND(L243*M243*H243,0)</f>
        <v>0</v>
      </c>
      <c r="O243" s="77"/>
      <c r="P243" s="74">
        <f t="shared" ref="P243:P311" si="118">O243*N243</f>
        <v>0</v>
      </c>
      <c r="Q243" s="70"/>
      <c r="R243" s="76"/>
      <c r="S243" s="77"/>
      <c r="T243" s="74">
        <f t="shared" ref="T243:T311" si="119">S243*Q243</f>
        <v>0</v>
      </c>
      <c r="U243" s="78"/>
      <c r="V243" s="74">
        <f t="shared" si="114"/>
        <v>0</v>
      </c>
      <c r="W243" s="79">
        <f t="shared" si="115"/>
        <v>0</v>
      </c>
      <c r="X243" s="80"/>
    </row>
    <row r="244" spans="1:26" ht="15" thickBot="1" x14ac:dyDescent="0.35">
      <c r="A244" s="165">
        <f t="shared" si="113"/>
        <v>237</v>
      </c>
      <c r="B244" s="314" t="s">
        <v>316</v>
      </c>
      <c r="C244" s="315"/>
      <c r="D244" s="167"/>
      <c r="E244" s="168"/>
      <c r="F244" s="169"/>
      <c r="G244" s="167"/>
      <c r="H244" s="168"/>
      <c r="I244" s="170" t="s">
        <v>238</v>
      </c>
      <c r="J244" s="167"/>
      <c r="K244" s="171">
        <f t="shared" si="116"/>
        <v>0</v>
      </c>
      <c r="L244" s="172"/>
      <c r="M244" s="167"/>
      <c r="N244" s="173">
        <f t="shared" si="117"/>
        <v>0</v>
      </c>
      <c r="O244" s="174"/>
      <c r="P244" s="171">
        <f t="shared" si="118"/>
        <v>0</v>
      </c>
      <c r="Q244" s="167"/>
      <c r="R244" s="173"/>
      <c r="S244" s="174"/>
      <c r="T244" s="171">
        <f t="shared" si="119"/>
        <v>0</v>
      </c>
      <c r="U244" s="175"/>
      <c r="V244" s="171">
        <f t="shared" si="114"/>
        <v>0</v>
      </c>
      <c r="W244" s="176">
        <f t="shared" si="115"/>
        <v>0</v>
      </c>
      <c r="X244" s="165"/>
      <c r="Y244" s="177">
        <f>SUM(W244:W259)</f>
        <v>0</v>
      </c>
    </row>
    <row r="245" spans="1:26" ht="15" thickBot="1" x14ac:dyDescent="0.35">
      <c r="A245" s="80">
        <f t="shared" ref="A245:A259" si="120">A244+1</f>
        <v>238</v>
      </c>
      <c r="B245" s="232"/>
      <c r="C245" s="232" t="str">
        <f>IFERROR(VLOOKUP(B245,'Importer Data Fields'!C:D,2,0),"")</f>
        <v/>
      </c>
      <c r="D245" s="70"/>
      <c r="E245" s="71"/>
      <c r="F245" s="72"/>
      <c r="G245" s="70"/>
      <c r="H245" s="71"/>
      <c r="I245" s="73" t="s">
        <v>238</v>
      </c>
      <c r="J245" s="70"/>
      <c r="K245" s="74">
        <f>J245*H245</f>
        <v>0</v>
      </c>
      <c r="L245" s="75"/>
      <c r="M245" s="70"/>
      <c r="N245" s="76">
        <f t="shared" si="117"/>
        <v>0</v>
      </c>
      <c r="O245" s="77"/>
      <c r="P245" s="74">
        <f t="shared" si="118"/>
        <v>0</v>
      </c>
      <c r="Q245" s="70"/>
      <c r="R245" s="76"/>
      <c r="S245" s="77"/>
      <c r="T245" s="74">
        <f t="shared" si="119"/>
        <v>0</v>
      </c>
      <c r="U245" s="78"/>
      <c r="V245" s="74">
        <f t="shared" si="114"/>
        <v>0</v>
      </c>
      <c r="W245" s="79">
        <f t="shared" si="115"/>
        <v>0</v>
      </c>
      <c r="X245" s="80"/>
    </row>
    <row r="246" spans="1:26" ht="15" thickBot="1" x14ac:dyDescent="0.35">
      <c r="A246" s="80">
        <f t="shared" si="120"/>
        <v>239</v>
      </c>
      <c r="B246" s="80"/>
      <c r="C246" s="232" t="str">
        <f>IFERROR(VLOOKUP(B246,'Importer Data Fields'!C:D,2,0),"")</f>
        <v/>
      </c>
      <c r="D246" s="70"/>
      <c r="E246" s="71"/>
      <c r="F246" s="72"/>
      <c r="G246" s="70"/>
      <c r="H246" s="71"/>
      <c r="I246" s="73"/>
      <c r="J246" s="70"/>
      <c r="K246" s="74">
        <f t="shared" ref="K246:K293" si="121">J246*H246</f>
        <v>0</v>
      </c>
      <c r="L246" s="75"/>
      <c r="M246" s="70"/>
      <c r="N246" s="76">
        <f t="shared" si="117"/>
        <v>0</v>
      </c>
      <c r="O246" s="77"/>
      <c r="P246" s="74">
        <f t="shared" si="118"/>
        <v>0</v>
      </c>
      <c r="Q246" s="70"/>
      <c r="R246" s="76"/>
      <c r="S246" s="77"/>
      <c r="T246" s="74">
        <f t="shared" si="119"/>
        <v>0</v>
      </c>
      <c r="U246" s="78"/>
      <c r="V246" s="74">
        <f>H246*U246</f>
        <v>0</v>
      </c>
      <c r="W246" s="79">
        <f>V246+T246+P246+K246</f>
        <v>0</v>
      </c>
      <c r="X246" s="80"/>
      <c r="Y246" s="84"/>
    </row>
    <row r="247" spans="1:26" ht="15" thickBot="1" x14ac:dyDescent="0.35">
      <c r="A247" s="80">
        <f t="shared" si="120"/>
        <v>240</v>
      </c>
      <c r="B247" s="80"/>
      <c r="C247" s="232" t="str">
        <f>IFERROR(VLOOKUP(B247,'Importer Data Fields'!C:D,2,0),"")</f>
        <v/>
      </c>
      <c r="D247" s="70"/>
      <c r="E247" s="71"/>
      <c r="F247" s="72"/>
      <c r="G247" s="70"/>
      <c r="H247" s="71"/>
      <c r="I247" s="73" t="s">
        <v>257</v>
      </c>
      <c r="J247" s="70"/>
      <c r="K247" s="74">
        <f t="shared" si="121"/>
        <v>0</v>
      </c>
      <c r="L247" s="75"/>
      <c r="M247" s="70"/>
      <c r="N247" s="76">
        <f t="shared" si="117"/>
        <v>0</v>
      </c>
      <c r="O247" s="77"/>
      <c r="P247" s="74">
        <f t="shared" si="118"/>
        <v>0</v>
      </c>
      <c r="Q247" s="70"/>
      <c r="R247" s="76"/>
      <c r="S247" s="77"/>
      <c r="T247" s="74">
        <f t="shared" si="119"/>
        <v>0</v>
      </c>
      <c r="U247" s="78"/>
      <c r="V247" s="74">
        <f>H247*U247</f>
        <v>0</v>
      </c>
      <c r="W247" s="79">
        <f>V247+T247+P247+K247</f>
        <v>0</v>
      </c>
      <c r="X247" s="80"/>
      <c r="Y247" s="84"/>
    </row>
    <row r="248" spans="1:26" ht="15" thickBot="1" x14ac:dyDescent="0.35">
      <c r="A248" s="80">
        <f t="shared" si="120"/>
        <v>241</v>
      </c>
      <c r="B248" s="80"/>
      <c r="C248" s="232" t="str">
        <f>IFERROR(VLOOKUP(B248,'Importer Data Fields'!C:D,2,0),"")</f>
        <v/>
      </c>
      <c r="D248" s="70"/>
      <c r="E248" s="71"/>
      <c r="F248" s="72"/>
      <c r="G248" s="70"/>
      <c r="H248" s="71"/>
      <c r="I248" s="73" t="s">
        <v>257</v>
      </c>
      <c r="J248" s="70"/>
      <c r="K248" s="74">
        <f t="shared" si="121"/>
        <v>0</v>
      </c>
      <c r="L248" s="75"/>
      <c r="M248" s="70"/>
      <c r="N248" s="76">
        <f t="shared" si="117"/>
        <v>0</v>
      </c>
      <c r="O248" s="77"/>
      <c r="P248" s="74">
        <f t="shared" si="118"/>
        <v>0</v>
      </c>
      <c r="Q248" s="70"/>
      <c r="R248" s="76"/>
      <c r="S248" s="77"/>
      <c r="T248" s="74">
        <f t="shared" si="119"/>
        <v>0</v>
      </c>
      <c r="U248" s="78"/>
      <c r="V248" s="74">
        <f>H248*U248</f>
        <v>0</v>
      </c>
      <c r="W248" s="79">
        <f>V248+T248+P248+K248</f>
        <v>0</v>
      </c>
      <c r="X248" s="80"/>
    </row>
    <row r="249" spans="1:26" ht="15" thickBot="1" x14ac:dyDescent="0.35">
      <c r="A249" s="80">
        <f t="shared" si="120"/>
        <v>242</v>
      </c>
      <c r="B249" s="80"/>
      <c r="C249" s="232" t="str">
        <f>IFERROR(VLOOKUP(B249,'Importer Data Fields'!C:D,2,0),"")</f>
        <v/>
      </c>
      <c r="D249" s="70"/>
      <c r="E249" s="71"/>
      <c r="F249" s="72"/>
      <c r="G249" s="70"/>
      <c r="H249" s="71"/>
      <c r="I249" s="73" t="s">
        <v>238</v>
      </c>
      <c r="J249" s="70"/>
      <c r="K249" s="74">
        <f t="shared" si="121"/>
        <v>0</v>
      </c>
      <c r="L249" s="75"/>
      <c r="M249" s="70"/>
      <c r="N249" s="76">
        <f t="shared" si="117"/>
        <v>0</v>
      </c>
      <c r="O249" s="77"/>
      <c r="P249" s="74">
        <f t="shared" si="118"/>
        <v>0</v>
      </c>
      <c r="Q249" s="70"/>
      <c r="R249" s="76"/>
      <c r="S249" s="77"/>
      <c r="T249" s="74">
        <f t="shared" si="119"/>
        <v>0</v>
      </c>
      <c r="U249" s="78"/>
      <c r="V249" s="74">
        <f t="shared" ref="V249:V293" si="122">H249*U249</f>
        <v>0</v>
      </c>
      <c r="W249" s="79">
        <f t="shared" ref="W249:W293" si="123">V249+T249+P249+K249</f>
        <v>0</v>
      </c>
      <c r="X249" s="80"/>
      <c r="Y249" s="84"/>
    </row>
    <row r="250" spans="1:26" ht="15" thickBot="1" x14ac:dyDescent="0.35">
      <c r="A250" s="80">
        <f t="shared" si="120"/>
        <v>243</v>
      </c>
      <c r="B250" s="80"/>
      <c r="C250" s="232" t="str">
        <f>IFERROR(VLOOKUP(B250,'Importer Data Fields'!C:D,2,0),"")</f>
        <v/>
      </c>
      <c r="D250" s="70"/>
      <c r="E250" s="71"/>
      <c r="F250" s="72"/>
      <c r="G250" s="70"/>
      <c r="H250" s="71"/>
      <c r="I250" s="73" t="s">
        <v>238</v>
      </c>
      <c r="J250" s="70"/>
      <c r="K250" s="74">
        <f t="shared" si="121"/>
        <v>0</v>
      </c>
      <c r="L250" s="75"/>
      <c r="M250" s="70"/>
      <c r="N250" s="76">
        <f t="shared" si="117"/>
        <v>0</v>
      </c>
      <c r="O250" s="77"/>
      <c r="P250" s="74">
        <f t="shared" si="118"/>
        <v>0</v>
      </c>
      <c r="Q250" s="70"/>
      <c r="R250" s="76"/>
      <c r="S250" s="77"/>
      <c r="T250" s="74">
        <f t="shared" si="119"/>
        <v>0</v>
      </c>
      <c r="U250" s="78"/>
      <c r="V250" s="74">
        <f t="shared" si="122"/>
        <v>0</v>
      </c>
      <c r="W250" s="79">
        <f t="shared" si="123"/>
        <v>0</v>
      </c>
      <c r="X250" s="80"/>
      <c r="Y250" s="84"/>
    </row>
    <row r="251" spans="1:26" ht="15" thickBot="1" x14ac:dyDescent="0.35">
      <c r="A251" s="80">
        <f t="shared" si="120"/>
        <v>244</v>
      </c>
      <c r="B251" s="80"/>
      <c r="C251" s="232" t="str">
        <f>IFERROR(VLOOKUP(B251,'Importer Data Fields'!C:D,2,0),"")</f>
        <v/>
      </c>
      <c r="D251" s="70"/>
      <c r="E251" s="71"/>
      <c r="F251" s="72"/>
      <c r="G251" s="70"/>
      <c r="H251" s="71"/>
      <c r="I251" s="73" t="s">
        <v>257</v>
      </c>
      <c r="J251" s="70"/>
      <c r="K251" s="74">
        <f t="shared" si="121"/>
        <v>0</v>
      </c>
      <c r="L251" s="75"/>
      <c r="M251" s="70"/>
      <c r="N251" s="76">
        <f t="shared" si="117"/>
        <v>0</v>
      </c>
      <c r="O251" s="77"/>
      <c r="P251" s="74">
        <f t="shared" si="118"/>
        <v>0</v>
      </c>
      <c r="Q251" s="70"/>
      <c r="R251" s="76"/>
      <c r="S251" s="77"/>
      <c r="T251" s="74">
        <f t="shared" si="119"/>
        <v>0</v>
      </c>
      <c r="U251" s="78"/>
      <c r="V251" s="74">
        <f t="shared" si="122"/>
        <v>0</v>
      </c>
      <c r="W251" s="79">
        <f t="shared" si="123"/>
        <v>0</v>
      </c>
      <c r="X251" s="80"/>
      <c r="Y251" s="84"/>
    </row>
    <row r="252" spans="1:26" ht="15" thickBot="1" x14ac:dyDescent="0.35">
      <c r="A252" s="80">
        <f t="shared" si="120"/>
        <v>245</v>
      </c>
      <c r="B252" s="80"/>
      <c r="C252" s="232" t="str">
        <f>IFERROR(VLOOKUP(B252,'Importer Data Fields'!C:D,2,0),"")</f>
        <v/>
      </c>
      <c r="D252" s="70"/>
      <c r="E252" s="71"/>
      <c r="F252" s="72"/>
      <c r="G252" s="70"/>
      <c r="H252" s="71"/>
      <c r="I252" s="73" t="s">
        <v>238</v>
      </c>
      <c r="J252" s="70"/>
      <c r="K252" s="74">
        <f t="shared" si="121"/>
        <v>0</v>
      </c>
      <c r="L252" s="75"/>
      <c r="M252" s="70"/>
      <c r="N252" s="76">
        <f t="shared" si="117"/>
        <v>0</v>
      </c>
      <c r="O252" s="77"/>
      <c r="P252" s="74">
        <f t="shared" si="118"/>
        <v>0</v>
      </c>
      <c r="Q252" s="70"/>
      <c r="R252" s="76"/>
      <c r="S252" s="77"/>
      <c r="T252" s="74">
        <f t="shared" si="119"/>
        <v>0</v>
      </c>
      <c r="U252" s="78"/>
      <c r="V252" s="74">
        <f t="shared" si="122"/>
        <v>0</v>
      </c>
      <c r="W252" s="79">
        <f t="shared" si="123"/>
        <v>0</v>
      </c>
      <c r="X252" s="80"/>
      <c r="Y252" s="84"/>
    </row>
    <row r="253" spans="1:26" ht="15" thickBot="1" x14ac:dyDescent="0.35">
      <c r="A253" s="80">
        <f t="shared" si="120"/>
        <v>246</v>
      </c>
      <c r="B253" s="80"/>
      <c r="C253" s="232" t="str">
        <f>IFERROR(VLOOKUP(B253,'Importer Data Fields'!C:D,2,0),"")</f>
        <v/>
      </c>
      <c r="D253" s="70"/>
      <c r="E253" s="71"/>
      <c r="F253" s="72"/>
      <c r="G253" s="70"/>
      <c r="H253" s="71"/>
      <c r="I253" s="73"/>
      <c r="J253" s="70"/>
      <c r="K253" s="74">
        <f t="shared" si="121"/>
        <v>0</v>
      </c>
      <c r="L253" s="75"/>
      <c r="M253" s="70"/>
      <c r="N253" s="76">
        <f t="shared" si="117"/>
        <v>0</v>
      </c>
      <c r="O253" s="77"/>
      <c r="P253" s="74">
        <f t="shared" si="118"/>
        <v>0</v>
      </c>
      <c r="Q253" s="70"/>
      <c r="R253" s="76"/>
      <c r="S253" s="77"/>
      <c r="T253" s="74">
        <f t="shared" si="119"/>
        <v>0</v>
      </c>
      <c r="U253" s="78"/>
      <c r="V253" s="74">
        <f t="shared" si="122"/>
        <v>0</v>
      </c>
      <c r="W253" s="79">
        <f t="shared" si="123"/>
        <v>0</v>
      </c>
      <c r="X253" s="82"/>
      <c r="Y253" s="83"/>
    </row>
    <row r="254" spans="1:26" ht="15" thickBot="1" x14ac:dyDescent="0.35">
      <c r="A254" s="80">
        <f t="shared" si="120"/>
        <v>247</v>
      </c>
      <c r="B254" s="80"/>
      <c r="C254" s="232" t="str">
        <f>IFERROR(VLOOKUP(B254,'Importer Data Fields'!C:D,2,0),"")</f>
        <v/>
      </c>
      <c r="D254" s="70"/>
      <c r="E254" s="71"/>
      <c r="F254" s="72"/>
      <c r="G254" s="70"/>
      <c r="H254" s="71"/>
      <c r="I254" s="73" t="s">
        <v>238</v>
      </c>
      <c r="J254" s="70"/>
      <c r="K254" s="74">
        <f t="shared" si="121"/>
        <v>0</v>
      </c>
      <c r="L254" s="75"/>
      <c r="M254" s="70"/>
      <c r="N254" s="76">
        <f t="shared" si="117"/>
        <v>0</v>
      </c>
      <c r="O254" s="77"/>
      <c r="P254" s="74">
        <f t="shared" si="118"/>
        <v>0</v>
      </c>
      <c r="Q254" s="70"/>
      <c r="R254" s="76"/>
      <c r="S254" s="77"/>
      <c r="T254" s="74">
        <f t="shared" si="119"/>
        <v>0</v>
      </c>
      <c r="U254" s="78"/>
      <c r="V254" s="74">
        <f t="shared" si="122"/>
        <v>0</v>
      </c>
      <c r="W254" s="79">
        <f t="shared" si="123"/>
        <v>0</v>
      </c>
      <c r="X254" s="80"/>
    </row>
    <row r="255" spans="1:26" s="85" customFormat="1" ht="15" thickBot="1" x14ac:dyDescent="0.35">
      <c r="A255" s="80">
        <f t="shared" si="120"/>
        <v>248</v>
      </c>
      <c r="B255" s="80"/>
      <c r="C255" s="232" t="str">
        <f>IFERROR(VLOOKUP(B255,'Importer Data Fields'!C:D,2,0),"")</f>
        <v/>
      </c>
      <c r="D255" s="70"/>
      <c r="E255" s="71"/>
      <c r="F255" s="72"/>
      <c r="G255" s="70"/>
      <c r="H255" s="71"/>
      <c r="I255" s="73" t="s">
        <v>238</v>
      </c>
      <c r="J255" s="70"/>
      <c r="K255" s="74">
        <f t="shared" si="121"/>
        <v>0</v>
      </c>
      <c r="L255" s="75"/>
      <c r="M255" s="70"/>
      <c r="N255" s="76">
        <f t="shared" si="117"/>
        <v>0</v>
      </c>
      <c r="O255" s="77"/>
      <c r="P255" s="74">
        <f t="shared" si="118"/>
        <v>0</v>
      </c>
      <c r="Q255" s="70"/>
      <c r="R255" s="76"/>
      <c r="S255" s="77"/>
      <c r="T255" s="74">
        <f t="shared" si="119"/>
        <v>0</v>
      </c>
      <c r="U255" s="78"/>
      <c r="V255" s="74">
        <f t="shared" si="122"/>
        <v>0</v>
      </c>
      <c r="W255" s="79">
        <f t="shared" si="123"/>
        <v>0</v>
      </c>
      <c r="X255" s="80"/>
      <c r="Y255"/>
      <c r="Z255"/>
    </row>
    <row r="256" spans="1:26" ht="15" thickBot="1" x14ac:dyDescent="0.35">
      <c r="A256" s="80">
        <f t="shared" si="120"/>
        <v>249</v>
      </c>
      <c r="B256" s="80"/>
      <c r="C256" s="232" t="str">
        <f>IFERROR(VLOOKUP(B256,'Importer Data Fields'!C:D,2,0),"")</f>
        <v/>
      </c>
      <c r="D256" s="70"/>
      <c r="E256" s="71"/>
      <c r="F256" s="72"/>
      <c r="G256" s="70"/>
      <c r="H256" s="71"/>
      <c r="I256" s="73"/>
      <c r="J256" s="70"/>
      <c r="K256" s="74">
        <f t="shared" si="121"/>
        <v>0</v>
      </c>
      <c r="L256" s="75"/>
      <c r="M256" s="70"/>
      <c r="N256" s="76">
        <f t="shared" si="117"/>
        <v>0</v>
      </c>
      <c r="O256" s="77"/>
      <c r="P256" s="74">
        <f t="shared" si="118"/>
        <v>0</v>
      </c>
      <c r="Q256" s="70"/>
      <c r="R256" s="76"/>
      <c r="S256" s="77"/>
      <c r="T256" s="74">
        <f t="shared" si="119"/>
        <v>0</v>
      </c>
      <c r="U256" s="78"/>
      <c r="V256" s="74">
        <f t="shared" si="122"/>
        <v>0</v>
      </c>
      <c r="W256" s="79">
        <f t="shared" si="123"/>
        <v>0</v>
      </c>
      <c r="X256" s="80"/>
    </row>
    <row r="257" spans="1:49" ht="15" thickBot="1" x14ac:dyDescent="0.35">
      <c r="A257" s="80">
        <f t="shared" si="120"/>
        <v>250</v>
      </c>
      <c r="B257" s="80"/>
      <c r="C257" s="232" t="str">
        <f>IFERROR(VLOOKUP(B257,'Importer Data Fields'!C:D,2,0),"")</f>
        <v/>
      </c>
      <c r="D257" s="70"/>
      <c r="E257" s="71"/>
      <c r="F257" s="72"/>
      <c r="G257" s="70"/>
      <c r="H257" s="71"/>
      <c r="I257" s="73" t="s">
        <v>238</v>
      </c>
      <c r="J257" s="70"/>
      <c r="K257" s="74">
        <f t="shared" si="121"/>
        <v>0</v>
      </c>
      <c r="L257" s="75"/>
      <c r="M257" s="70"/>
      <c r="N257" s="76">
        <f t="shared" si="117"/>
        <v>0</v>
      </c>
      <c r="O257" s="77"/>
      <c r="P257" s="74">
        <f t="shared" si="118"/>
        <v>0</v>
      </c>
      <c r="Q257" s="70"/>
      <c r="R257" s="76"/>
      <c r="S257" s="77"/>
      <c r="T257" s="74">
        <f t="shared" si="119"/>
        <v>0</v>
      </c>
      <c r="U257" s="78"/>
      <c r="V257" s="74">
        <f t="shared" si="122"/>
        <v>0</v>
      </c>
      <c r="W257" s="79">
        <f t="shared" si="123"/>
        <v>0</v>
      </c>
      <c r="X257" s="80"/>
    </row>
    <row r="258" spans="1:49" ht="15" thickBot="1" x14ac:dyDescent="0.35">
      <c r="A258" s="80">
        <f t="shared" si="120"/>
        <v>251</v>
      </c>
      <c r="B258" s="80"/>
      <c r="C258" s="232" t="str">
        <f>IFERROR(VLOOKUP(B258,'Importer Data Fields'!C:D,2,0),"")</f>
        <v/>
      </c>
      <c r="D258" s="70"/>
      <c r="E258" s="71"/>
      <c r="F258" s="72"/>
      <c r="G258" s="70"/>
      <c r="H258" s="71"/>
      <c r="I258" s="73"/>
      <c r="J258" s="70"/>
      <c r="K258" s="74">
        <f t="shared" si="121"/>
        <v>0</v>
      </c>
      <c r="L258" s="75"/>
      <c r="M258" s="70"/>
      <c r="N258" s="76">
        <f t="shared" si="117"/>
        <v>0</v>
      </c>
      <c r="O258" s="77"/>
      <c r="P258" s="74">
        <f t="shared" si="118"/>
        <v>0</v>
      </c>
      <c r="Q258" s="70"/>
      <c r="R258" s="76"/>
      <c r="S258" s="77"/>
      <c r="T258" s="74">
        <f t="shared" si="119"/>
        <v>0</v>
      </c>
      <c r="U258" s="78"/>
      <c r="V258" s="74">
        <f t="shared" si="122"/>
        <v>0</v>
      </c>
      <c r="W258" s="79">
        <f t="shared" si="123"/>
        <v>0</v>
      </c>
      <c r="X258" s="80"/>
    </row>
    <row r="259" spans="1:49" ht="15" thickBot="1" x14ac:dyDescent="0.35">
      <c r="A259" s="80">
        <f t="shared" si="120"/>
        <v>252</v>
      </c>
      <c r="B259" s="231"/>
      <c r="C259" s="232" t="str">
        <f>IFERROR(VLOOKUP(B259,'Importer Data Fields'!C:D,2,0),"")</f>
        <v/>
      </c>
      <c r="D259" s="70"/>
      <c r="E259" s="71"/>
      <c r="F259" s="72"/>
      <c r="G259" s="70"/>
      <c r="H259" s="71"/>
      <c r="I259" s="73"/>
      <c r="J259" s="70"/>
      <c r="K259" s="74">
        <f t="shared" si="121"/>
        <v>0</v>
      </c>
      <c r="L259" s="75"/>
      <c r="M259" s="70"/>
      <c r="N259" s="76">
        <f t="shared" si="117"/>
        <v>0</v>
      </c>
      <c r="O259" s="77"/>
      <c r="P259" s="74">
        <f t="shared" si="118"/>
        <v>0</v>
      </c>
      <c r="Q259" s="70"/>
      <c r="R259" s="76"/>
      <c r="S259" s="77"/>
      <c r="T259" s="74">
        <f t="shared" si="119"/>
        <v>0</v>
      </c>
      <c r="U259" s="78"/>
      <c r="V259" s="74">
        <f t="shared" si="122"/>
        <v>0</v>
      </c>
      <c r="W259" s="79">
        <f t="shared" si="123"/>
        <v>0</v>
      </c>
      <c r="X259" s="80"/>
    </row>
    <row r="260" spans="1:49" s="85" customFormat="1" ht="15" thickBot="1" x14ac:dyDescent="0.35">
      <c r="A260" s="165">
        <f>A259+1</f>
        <v>253</v>
      </c>
      <c r="B260" s="316" t="s">
        <v>317</v>
      </c>
      <c r="C260" s="317"/>
      <c r="D260" s="167"/>
      <c r="E260" s="168"/>
      <c r="F260" s="169"/>
      <c r="G260" s="167"/>
      <c r="H260" s="168"/>
      <c r="I260" s="170"/>
      <c r="J260" s="167"/>
      <c r="K260" s="171">
        <f t="shared" si="121"/>
        <v>0</v>
      </c>
      <c r="L260" s="172"/>
      <c r="M260" s="167"/>
      <c r="N260" s="173">
        <f t="shared" si="117"/>
        <v>0</v>
      </c>
      <c r="O260" s="174"/>
      <c r="P260" s="171">
        <f t="shared" si="118"/>
        <v>0</v>
      </c>
      <c r="Q260" s="167"/>
      <c r="R260" s="173"/>
      <c r="S260" s="174"/>
      <c r="T260" s="171">
        <f t="shared" si="119"/>
        <v>0</v>
      </c>
      <c r="U260" s="175"/>
      <c r="V260" s="171">
        <f t="shared" si="122"/>
        <v>0</v>
      </c>
      <c r="W260" s="176">
        <f t="shared" si="123"/>
        <v>0</v>
      </c>
      <c r="X260" s="165"/>
      <c r="Y260" s="177">
        <f>SUM(W260:W276)</f>
        <v>0</v>
      </c>
      <c r="Z260"/>
    </row>
    <row r="261" spans="1:49" ht="15" thickBot="1" x14ac:dyDescent="0.35">
      <c r="A261" s="80">
        <f t="shared" ref="A261:A293" si="124">A260+1</f>
        <v>254</v>
      </c>
      <c r="B261" s="183"/>
      <c r="C261" s="232" t="str">
        <f>IFERROR(VLOOKUP(B261,'Importer Data Fields'!C:D,2,0),"")</f>
        <v/>
      </c>
      <c r="D261" s="70"/>
      <c r="E261" s="71"/>
      <c r="F261" s="72"/>
      <c r="G261" s="70"/>
      <c r="H261" s="71"/>
      <c r="I261" s="73" t="s">
        <v>238</v>
      </c>
      <c r="J261" s="70"/>
      <c r="K261" s="74">
        <f t="shared" si="121"/>
        <v>0</v>
      </c>
      <c r="L261" s="75"/>
      <c r="M261" s="70"/>
      <c r="N261" s="76">
        <f t="shared" si="117"/>
        <v>0</v>
      </c>
      <c r="O261" s="77"/>
      <c r="P261" s="74">
        <f t="shared" si="118"/>
        <v>0</v>
      </c>
      <c r="Q261" s="70"/>
      <c r="R261" s="76"/>
      <c r="S261" s="77"/>
      <c r="T261" s="74">
        <f t="shared" si="119"/>
        <v>0</v>
      </c>
      <c r="U261" s="78"/>
      <c r="V261" s="74">
        <f t="shared" si="122"/>
        <v>0</v>
      </c>
      <c r="W261" s="79">
        <f t="shared" si="123"/>
        <v>0</v>
      </c>
      <c r="X261" s="80"/>
    </row>
    <row r="262" spans="1:49" ht="15" thickBot="1" x14ac:dyDescent="0.35">
      <c r="A262" s="80">
        <f t="shared" si="124"/>
        <v>255</v>
      </c>
      <c r="B262" s="183" t="s">
        <v>318</v>
      </c>
      <c r="C262" s="232" t="str">
        <f>IFERROR(VLOOKUP(B262,'Importer Data Fields'!C:D,2,0),"")</f>
        <v>Exterior Landscape Design</v>
      </c>
      <c r="D262" s="70"/>
      <c r="E262" s="71"/>
      <c r="F262" s="72"/>
      <c r="G262" s="70"/>
      <c r="H262" s="71"/>
      <c r="I262" s="73" t="s">
        <v>238</v>
      </c>
      <c r="J262" s="70"/>
      <c r="K262" s="74">
        <f t="shared" si="121"/>
        <v>0</v>
      </c>
      <c r="L262" s="75"/>
      <c r="M262" s="70"/>
      <c r="N262" s="76">
        <f t="shared" si="117"/>
        <v>0</v>
      </c>
      <c r="O262" s="77"/>
      <c r="P262" s="74">
        <f t="shared" si="118"/>
        <v>0</v>
      </c>
      <c r="Q262" s="70"/>
      <c r="R262" s="76"/>
      <c r="S262" s="77"/>
      <c r="T262" s="74">
        <f t="shared" si="119"/>
        <v>0</v>
      </c>
      <c r="U262" s="78"/>
      <c r="V262" s="74">
        <f t="shared" si="122"/>
        <v>0</v>
      </c>
      <c r="W262" s="79">
        <f t="shared" si="123"/>
        <v>0</v>
      </c>
      <c r="X262" s="80"/>
    </row>
    <row r="263" spans="1:49" s="85" customFormat="1" ht="15" thickBot="1" x14ac:dyDescent="0.35">
      <c r="A263" s="80">
        <f t="shared" si="124"/>
        <v>256</v>
      </c>
      <c r="B263" s="183" t="s">
        <v>319</v>
      </c>
      <c r="C263" s="232" t="str">
        <f>IFERROR(VLOOKUP(B263,'Importer Data Fields'!C:D,2,0),"")</f>
        <v>Chain Link Fences and Gates</v>
      </c>
      <c r="D263" s="70"/>
      <c r="E263" s="71"/>
      <c r="F263" s="72"/>
      <c r="G263" s="70"/>
      <c r="H263" s="71"/>
      <c r="I263" s="73" t="s">
        <v>238</v>
      </c>
      <c r="J263" s="70"/>
      <c r="K263" s="74">
        <f t="shared" si="121"/>
        <v>0</v>
      </c>
      <c r="L263" s="75"/>
      <c r="M263" s="70"/>
      <c r="N263" s="76">
        <f t="shared" si="117"/>
        <v>0</v>
      </c>
      <c r="O263" s="77"/>
      <c r="P263" s="74">
        <f t="shared" si="118"/>
        <v>0</v>
      </c>
      <c r="Q263" s="70"/>
      <c r="R263" s="76"/>
      <c r="S263" s="77"/>
      <c r="T263" s="74">
        <f t="shared" si="119"/>
        <v>0</v>
      </c>
      <c r="U263" s="78"/>
      <c r="V263" s="74">
        <f t="shared" si="122"/>
        <v>0</v>
      </c>
      <c r="W263" s="79">
        <f t="shared" si="123"/>
        <v>0</v>
      </c>
      <c r="X263" s="80"/>
      <c r="Y263"/>
      <c r="Z263"/>
    </row>
    <row r="264" spans="1:49" ht="15" thickBot="1" x14ac:dyDescent="0.35">
      <c r="A264" s="80">
        <f t="shared" si="124"/>
        <v>257</v>
      </c>
      <c r="B264" s="183" t="s">
        <v>320</v>
      </c>
      <c r="C264" s="232" t="str">
        <f>IFERROR(VLOOKUP(B264,'Importer Data Fields'!C:D,2,0),"")</f>
        <v>Pavement Markings</v>
      </c>
      <c r="D264" s="70"/>
      <c r="E264" s="71"/>
      <c r="F264" s="72"/>
      <c r="G264" s="70"/>
      <c r="H264" s="71"/>
      <c r="I264" s="73" t="s">
        <v>238</v>
      </c>
      <c r="J264" s="70"/>
      <c r="K264" s="74">
        <f t="shared" si="121"/>
        <v>0</v>
      </c>
      <c r="L264" s="75"/>
      <c r="M264" s="70"/>
      <c r="N264" s="76">
        <f t="shared" si="117"/>
        <v>0</v>
      </c>
      <c r="O264" s="77"/>
      <c r="P264" s="74">
        <f t="shared" si="118"/>
        <v>0</v>
      </c>
      <c r="Q264" s="70"/>
      <c r="R264" s="76"/>
      <c r="S264" s="77"/>
      <c r="T264" s="74">
        <f t="shared" si="119"/>
        <v>0</v>
      </c>
      <c r="U264" s="78"/>
      <c r="V264" s="74">
        <f t="shared" si="122"/>
        <v>0</v>
      </c>
      <c r="W264" s="79">
        <f t="shared" si="123"/>
        <v>0</v>
      </c>
      <c r="X264" s="80"/>
    </row>
    <row r="265" spans="1:49" ht="15" thickBot="1" x14ac:dyDescent="0.35">
      <c r="A265" s="80">
        <f t="shared" si="124"/>
        <v>258</v>
      </c>
      <c r="B265" s="80"/>
      <c r="C265" s="232" t="str">
        <f>IFERROR(VLOOKUP(B265,'Importer Data Fields'!C:D,2,0),"")</f>
        <v/>
      </c>
      <c r="D265" s="70"/>
      <c r="E265" s="71"/>
      <c r="F265" s="72"/>
      <c r="G265" s="70"/>
      <c r="H265" s="71"/>
      <c r="I265" s="73"/>
      <c r="J265" s="70"/>
      <c r="K265" s="74">
        <f t="shared" si="121"/>
        <v>0</v>
      </c>
      <c r="L265" s="75"/>
      <c r="M265" s="70"/>
      <c r="N265" s="76">
        <f t="shared" si="117"/>
        <v>0</v>
      </c>
      <c r="O265" s="77"/>
      <c r="P265" s="74">
        <f t="shared" si="118"/>
        <v>0</v>
      </c>
      <c r="Q265" s="70"/>
      <c r="R265" s="76"/>
      <c r="S265" s="77"/>
      <c r="T265" s="74">
        <f t="shared" si="119"/>
        <v>0</v>
      </c>
      <c r="U265" s="78"/>
      <c r="V265" s="74">
        <f t="shared" si="122"/>
        <v>0</v>
      </c>
      <c r="W265" s="79">
        <f t="shared" si="123"/>
        <v>0</v>
      </c>
      <c r="X265" s="80"/>
    </row>
    <row r="266" spans="1:49" ht="15" thickBot="1" x14ac:dyDescent="0.35">
      <c r="A266" s="80">
        <f t="shared" si="124"/>
        <v>259</v>
      </c>
      <c r="B266" s="80"/>
      <c r="C266" s="232" t="str">
        <f>IFERROR(VLOOKUP(B266,'Importer Data Fields'!C:D,2,0),"")</f>
        <v/>
      </c>
      <c r="D266" s="70"/>
      <c r="E266" s="71"/>
      <c r="F266" s="72"/>
      <c r="G266" s="70"/>
      <c r="H266" s="71"/>
      <c r="I266" s="73"/>
      <c r="J266" s="70"/>
      <c r="K266" s="74">
        <f t="shared" si="121"/>
        <v>0</v>
      </c>
      <c r="L266" s="75"/>
      <c r="M266" s="70"/>
      <c r="N266" s="76">
        <f t="shared" si="117"/>
        <v>0</v>
      </c>
      <c r="O266" s="77"/>
      <c r="P266" s="74">
        <f t="shared" si="118"/>
        <v>0</v>
      </c>
      <c r="Q266" s="70"/>
      <c r="R266" s="76"/>
      <c r="S266" s="77"/>
      <c r="T266" s="74">
        <f t="shared" si="119"/>
        <v>0</v>
      </c>
      <c r="U266" s="78"/>
      <c r="V266" s="74">
        <f t="shared" si="122"/>
        <v>0</v>
      </c>
      <c r="W266" s="79">
        <f t="shared" si="123"/>
        <v>0</v>
      </c>
      <c r="X266" s="80"/>
    </row>
    <row r="267" spans="1:49" ht="15" thickBot="1" x14ac:dyDescent="0.35">
      <c r="A267" s="80">
        <f t="shared" si="124"/>
        <v>260</v>
      </c>
      <c r="B267" s="80"/>
      <c r="C267" s="232" t="str">
        <f>IFERROR(VLOOKUP(B267,'Importer Data Fields'!C:D,2,0),"")</f>
        <v/>
      </c>
      <c r="D267" s="70"/>
      <c r="E267" s="71"/>
      <c r="F267" s="72"/>
      <c r="G267" s="70"/>
      <c r="H267" s="71"/>
      <c r="I267" s="73"/>
      <c r="J267" s="70"/>
      <c r="K267" s="74">
        <f t="shared" si="121"/>
        <v>0</v>
      </c>
      <c r="L267" s="75"/>
      <c r="M267" s="70"/>
      <c r="N267" s="76">
        <f t="shared" si="117"/>
        <v>0</v>
      </c>
      <c r="O267" s="77"/>
      <c r="P267" s="74">
        <f t="shared" si="118"/>
        <v>0</v>
      </c>
      <c r="Q267" s="70"/>
      <c r="R267" s="76"/>
      <c r="S267" s="77"/>
      <c r="T267" s="74">
        <f t="shared" si="119"/>
        <v>0</v>
      </c>
      <c r="U267" s="78"/>
      <c r="V267" s="74">
        <f t="shared" si="122"/>
        <v>0</v>
      </c>
      <c r="W267" s="79">
        <f t="shared" si="123"/>
        <v>0</v>
      </c>
      <c r="X267" s="80"/>
    </row>
    <row r="268" spans="1:49" s="85" customFormat="1" ht="15" thickBot="1" x14ac:dyDescent="0.35">
      <c r="A268" s="80">
        <f t="shared" si="124"/>
        <v>261</v>
      </c>
      <c r="B268" s="80"/>
      <c r="C268" s="232" t="str">
        <f>IFERROR(VLOOKUP(B268,'Importer Data Fields'!C:D,2,0),"")</f>
        <v/>
      </c>
      <c r="D268" s="70"/>
      <c r="E268" s="71"/>
      <c r="F268" s="72"/>
      <c r="G268" s="70"/>
      <c r="H268" s="71"/>
      <c r="I268" s="73"/>
      <c r="J268" s="70"/>
      <c r="K268" s="74">
        <f t="shared" si="121"/>
        <v>0</v>
      </c>
      <c r="L268" s="75"/>
      <c r="M268" s="70"/>
      <c r="N268" s="76">
        <f t="shared" si="117"/>
        <v>0</v>
      </c>
      <c r="O268" s="77"/>
      <c r="P268" s="74">
        <f t="shared" si="118"/>
        <v>0</v>
      </c>
      <c r="Q268" s="70"/>
      <c r="R268" s="76"/>
      <c r="S268" s="77"/>
      <c r="T268" s="74">
        <f t="shared" si="119"/>
        <v>0</v>
      </c>
      <c r="U268" s="78"/>
      <c r="V268" s="74">
        <f t="shared" si="122"/>
        <v>0</v>
      </c>
      <c r="W268" s="79">
        <f t="shared" si="123"/>
        <v>0</v>
      </c>
      <c r="X268" s="80"/>
      <c r="Y268"/>
      <c r="Z268"/>
    </row>
    <row r="269" spans="1:49" ht="15" thickBot="1" x14ac:dyDescent="0.35">
      <c r="A269" s="80">
        <f t="shared" si="124"/>
        <v>262</v>
      </c>
      <c r="B269" s="80"/>
      <c r="C269" s="232" t="str">
        <f>IFERROR(VLOOKUP(B269,'Importer Data Fields'!C:D,2,0),"")</f>
        <v/>
      </c>
      <c r="D269" s="70"/>
      <c r="E269" s="71"/>
      <c r="F269" s="72"/>
      <c r="G269" s="70"/>
      <c r="H269" s="71"/>
      <c r="I269" s="73"/>
      <c r="J269" s="70"/>
      <c r="K269" s="74">
        <f t="shared" si="121"/>
        <v>0</v>
      </c>
      <c r="L269" s="75"/>
      <c r="M269" s="70"/>
      <c r="N269" s="76">
        <f t="shared" si="117"/>
        <v>0</v>
      </c>
      <c r="O269" s="77"/>
      <c r="P269" s="74">
        <f t="shared" si="118"/>
        <v>0</v>
      </c>
      <c r="Q269" s="70"/>
      <c r="R269" s="76"/>
      <c r="S269" s="77"/>
      <c r="T269" s="74">
        <f t="shared" si="119"/>
        <v>0</v>
      </c>
      <c r="U269" s="78"/>
      <c r="V269" s="74">
        <f t="shared" si="122"/>
        <v>0</v>
      </c>
      <c r="W269" s="79">
        <f t="shared" si="123"/>
        <v>0</v>
      </c>
      <c r="X269" s="80"/>
      <c r="Y269" s="83"/>
    </row>
    <row r="270" spans="1:49" ht="15" thickBot="1" x14ac:dyDescent="0.35">
      <c r="A270" s="80">
        <f t="shared" si="124"/>
        <v>263</v>
      </c>
      <c r="B270" s="80"/>
      <c r="C270" s="232" t="str">
        <f>IFERROR(VLOOKUP(B270,'Importer Data Fields'!C:D,2,0),"")</f>
        <v/>
      </c>
      <c r="D270" s="70"/>
      <c r="E270" s="71"/>
      <c r="F270" s="72"/>
      <c r="G270" s="70"/>
      <c r="H270" s="71"/>
      <c r="I270" s="73"/>
      <c r="J270" s="70"/>
      <c r="K270" s="74">
        <f t="shared" si="121"/>
        <v>0</v>
      </c>
      <c r="L270" s="75"/>
      <c r="M270" s="70"/>
      <c r="N270" s="76">
        <f t="shared" si="117"/>
        <v>0</v>
      </c>
      <c r="O270" s="77"/>
      <c r="P270" s="74">
        <f t="shared" si="118"/>
        <v>0</v>
      </c>
      <c r="Q270" s="70"/>
      <c r="R270" s="76"/>
      <c r="S270" s="77"/>
      <c r="T270" s="74">
        <f t="shared" si="119"/>
        <v>0</v>
      </c>
      <c r="U270" s="78"/>
      <c r="V270" s="74">
        <f t="shared" si="122"/>
        <v>0</v>
      </c>
      <c r="W270" s="79">
        <f t="shared" si="123"/>
        <v>0</v>
      </c>
      <c r="X270" s="80"/>
      <c r="AC270" s="149"/>
      <c r="AD270" s="131"/>
      <c r="AE270" s="131"/>
      <c r="AF270" s="131"/>
      <c r="AG270" s="131"/>
      <c r="AH270" s="131"/>
      <c r="AI270" s="150"/>
      <c r="AJ270" s="131"/>
      <c r="AK270" s="84"/>
      <c r="AL270" s="151"/>
      <c r="AM270" s="131"/>
      <c r="AN270" s="152"/>
      <c r="AO270" s="153"/>
      <c r="AP270" s="84"/>
      <c r="AQ270" s="131"/>
      <c r="AR270" s="152"/>
      <c r="AS270" s="153"/>
      <c r="AT270" s="84"/>
      <c r="AU270" s="153"/>
      <c r="AV270" s="84"/>
      <c r="AW270" s="84"/>
    </row>
    <row r="271" spans="1:49" ht="15" thickBot="1" x14ac:dyDescent="0.35">
      <c r="A271" s="80">
        <f t="shared" si="124"/>
        <v>264</v>
      </c>
      <c r="B271" s="80"/>
      <c r="C271" s="232" t="str">
        <f>IFERROR(VLOOKUP(B271,'Importer Data Fields'!C:D,2,0),"")</f>
        <v/>
      </c>
      <c r="D271" s="70"/>
      <c r="E271" s="71"/>
      <c r="F271" s="72"/>
      <c r="G271" s="70"/>
      <c r="H271" s="71"/>
      <c r="I271" s="73"/>
      <c r="J271" s="70"/>
      <c r="K271" s="74">
        <f t="shared" si="121"/>
        <v>0</v>
      </c>
      <c r="L271" s="75"/>
      <c r="M271" s="70"/>
      <c r="N271" s="76">
        <f t="shared" si="117"/>
        <v>0</v>
      </c>
      <c r="O271" s="77"/>
      <c r="P271" s="74">
        <f t="shared" si="118"/>
        <v>0</v>
      </c>
      <c r="Q271" s="70"/>
      <c r="R271" s="76"/>
      <c r="S271" s="77"/>
      <c r="T271" s="74">
        <f t="shared" si="119"/>
        <v>0</v>
      </c>
      <c r="U271" s="78"/>
      <c r="V271" s="74">
        <f t="shared" si="122"/>
        <v>0</v>
      </c>
      <c r="W271" s="79">
        <f t="shared" si="123"/>
        <v>0</v>
      </c>
      <c r="X271" s="80"/>
      <c r="AC271" s="154"/>
      <c r="AD271" s="131"/>
      <c r="AE271" s="131"/>
      <c r="AF271" s="131"/>
      <c r="AG271" s="131"/>
      <c r="AH271" s="131"/>
      <c r="AI271" s="150"/>
      <c r="AJ271" s="131"/>
      <c r="AK271" s="84"/>
      <c r="AL271" s="151"/>
      <c r="AM271" s="131"/>
      <c r="AN271" s="152"/>
      <c r="AO271" s="153"/>
      <c r="AP271" s="84"/>
      <c r="AQ271" s="131"/>
      <c r="AR271" s="152"/>
      <c r="AS271" s="153"/>
      <c r="AT271" s="84"/>
      <c r="AU271" s="153"/>
      <c r="AV271" s="84"/>
      <c r="AW271" s="84"/>
    </row>
    <row r="272" spans="1:49" ht="15" thickBot="1" x14ac:dyDescent="0.35">
      <c r="A272" s="80">
        <f t="shared" si="124"/>
        <v>265</v>
      </c>
      <c r="B272" s="80"/>
      <c r="C272" s="232" t="str">
        <f>IFERROR(VLOOKUP(B272,'Importer Data Fields'!C:D,2,0),"")</f>
        <v/>
      </c>
      <c r="D272" s="70"/>
      <c r="E272" s="71"/>
      <c r="F272" s="72"/>
      <c r="G272" s="70"/>
      <c r="H272" s="71"/>
      <c r="I272" s="73"/>
      <c r="J272" s="70"/>
      <c r="K272" s="74">
        <f t="shared" si="121"/>
        <v>0</v>
      </c>
      <c r="L272" s="75"/>
      <c r="M272" s="70"/>
      <c r="N272" s="76">
        <f t="shared" si="117"/>
        <v>0</v>
      </c>
      <c r="O272" s="77"/>
      <c r="P272" s="74">
        <f t="shared" si="118"/>
        <v>0</v>
      </c>
      <c r="Q272" s="70"/>
      <c r="R272" s="76"/>
      <c r="S272" s="77"/>
      <c r="T272" s="74">
        <f t="shared" si="119"/>
        <v>0</v>
      </c>
      <c r="U272" s="78"/>
      <c r="V272" s="74">
        <f t="shared" si="122"/>
        <v>0</v>
      </c>
      <c r="W272" s="79">
        <f t="shared" si="123"/>
        <v>0</v>
      </c>
      <c r="X272" s="80"/>
      <c r="AC272" s="154"/>
      <c r="AD272" s="131"/>
      <c r="AE272" s="131"/>
      <c r="AF272" s="131"/>
      <c r="AG272" s="131"/>
      <c r="AH272" s="131"/>
      <c r="AI272" s="150"/>
      <c r="AJ272" s="131"/>
      <c r="AK272" s="84"/>
      <c r="AL272" s="151"/>
      <c r="AM272" s="131"/>
      <c r="AN272" s="152"/>
      <c r="AO272" s="153"/>
      <c r="AP272" s="84"/>
      <c r="AQ272" s="131"/>
      <c r="AR272" s="152"/>
      <c r="AS272" s="153"/>
      <c r="AT272" s="84"/>
      <c r="AU272" s="153"/>
      <c r="AV272" s="84"/>
      <c r="AW272" s="84"/>
    </row>
    <row r="273" spans="1:50" ht="15" thickBot="1" x14ac:dyDescent="0.35">
      <c r="A273" s="80">
        <f t="shared" si="124"/>
        <v>266</v>
      </c>
      <c r="B273" s="80"/>
      <c r="C273" s="232" t="str">
        <f>IFERROR(VLOOKUP(B273,'Importer Data Fields'!C:D,2,0),"")</f>
        <v/>
      </c>
      <c r="D273" s="70"/>
      <c r="E273" s="71"/>
      <c r="F273" s="72"/>
      <c r="G273" s="70"/>
      <c r="H273" s="71"/>
      <c r="I273" s="73"/>
      <c r="J273" s="70"/>
      <c r="K273" s="74">
        <f t="shared" si="121"/>
        <v>0</v>
      </c>
      <c r="L273" s="75"/>
      <c r="M273" s="70"/>
      <c r="N273" s="76">
        <f t="shared" si="117"/>
        <v>0</v>
      </c>
      <c r="O273" s="77"/>
      <c r="P273" s="74">
        <f t="shared" si="118"/>
        <v>0</v>
      </c>
      <c r="Q273" s="70"/>
      <c r="R273" s="76"/>
      <c r="S273" s="77"/>
      <c r="T273" s="74">
        <f t="shared" si="119"/>
        <v>0</v>
      </c>
      <c r="U273" s="86"/>
      <c r="V273" s="74">
        <f t="shared" si="122"/>
        <v>0</v>
      </c>
      <c r="W273" s="79">
        <f t="shared" si="123"/>
        <v>0</v>
      </c>
      <c r="X273" s="80"/>
      <c r="AC273" s="154"/>
      <c r="AD273" s="131"/>
      <c r="AE273" s="131"/>
      <c r="AF273" s="131"/>
      <c r="AG273" s="131"/>
      <c r="AH273" s="131"/>
      <c r="AI273" s="150"/>
      <c r="AJ273" s="131"/>
      <c r="AK273" s="84"/>
      <c r="AL273" s="151"/>
      <c r="AM273" s="131"/>
      <c r="AN273" s="152"/>
      <c r="AO273" s="153"/>
      <c r="AP273" s="84"/>
      <c r="AQ273" s="131"/>
      <c r="AR273" s="152"/>
      <c r="AS273" s="153"/>
      <c r="AT273" s="84"/>
      <c r="AU273" s="153"/>
      <c r="AV273" s="84"/>
      <c r="AW273" s="84"/>
      <c r="AX273" s="155"/>
    </row>
    <row r="274" spans="1:50" ht="15" thickBot="1" x14ac:dyDescent="0.35">
      <c r="A274" s="80">
        <f t="shared" si="124"/>
        <v>267</v>
      </c>
      <c r="B274" s="80"/>
      <c r="C274" s="232" t="str">
        <f>IFERROR(VLOOKUP(B274,'Importer Data Fields'!C:D,2,0),"")</f>
        <v/>
      </c>
      <c r="D274" s="70"/>
      <c r="E274" s="71"/>
      <c r="F274" s="72"/>
      <c r="G274" s="70"/>
      <c r="H274" s="71"/>
      <c r="I274" s="73"/>
      <c r="J274" s="70"/>
      <c r="K274" s="74">
        <f t="shared" si="121"/>
        <v>0</v>
      </c>
      <c r="L274" s="75"/>
      <c r="M274" s="70"/>
      <c r="N274" s="76">
        <f t="shared" si="117"/>
        <v>0</v>
      </c>
      <c r="O274" s="77"/>
      <c r="P274" s="74">
        <f t="shared" si="118"/>
        <v>0</v>
      </c>
      <c r="Q274" s="70"/>
      <c r="R274" s="76"/>
      <c r="S274" s="77"/>
      <c r="T274" s="74">
        <f t="shared" si="119"/>
        <v>0</v>
      </c>
      <c r="U274" s="78"/>
      <c r="V274" s="74">
        <f t="shared" si="122"/>
        <v>0</v>
      </c>
      <c r="W274" s="79">
        <f t="shared" si="123"/>
        <v>0</v>
      </c>
      <c r="X274" s="80"/>
      <c r="AC274" s="154"/>
      <c r="AD274" s="131"/>
      <c r="AE274" s="131"/>
      <c r="AF274" s="131"/>
      <c r="AG274" s="131"/>
      <c r="AH274" s="131"/>
      <c r="AI274" s="150"/>
      <c r="AJ274" s="131"/>
      <c r="AK274" s="84"/>
      <c r="AL274" s="151"/>
      <c r="AM274" s="131"/>
      <c r="AN274" s="152"/>
      <c r="AO274" s="153"/>
      <c r="AP274" s="84"/>
      <c r="AQ274" s="131"/>
      <c r="AR274" s="152"/>
      <c r="AS274" s="153"/>
      <c r="AT274" s="84"/>
      <c r="AU274" s="153"/>
      <c r="AV274" s="84"/>
      <c r="AW274" s="84"/>
      <c r="AX274" s="155"/>
    </row>
    <row r="275" spans="1:50" ht="15" thickBot="1" x14ac:dyDescent="0.35">
      <c r="A275" s="80">
        <f t="shared" si="124"/>
        <v>268</v>
      </c>
      <c r="B275" s="80"/>
      <c r="C275" s="232" t="str">
        <f>IFERROR(VLOOKUP(B275,'Importer Data Fields'!C:D,2,0),"")</f>
        <v/>
      </c>
      <c r="D275" s="70"/>
      <c r="E275" s="71"/>
      <c r="F275" s="72"/>
      <c r="G275" s="70"/>
      <c r="H275" s="71"/>
      <c r="I275" s="73"/>
      <c r="J275" s="70"/>
      <c r="K275" s="74">
        <f t="shared" si="121"/>
        <v>0</v>
      </c>
      <c r="L275" s="75"/>
      <c r="M275" s="70"/>
      <c r="N275" s="76">
        <f t="shared" si="117"/>
        <v>0</v>
      </c>
      <c r="O275" s="77"/>
      <c r="P275" s="74">
        <f t="shared" si="118"/>
        <v>0</v>
      </c>
      <c r="Q275" s="70"/>
      <c r="R275" s="76"/>
      <c r="S275" s="77"/>
      <c r="T275" s="74">
        <f t="shared" si="119"/>
        <v>0</v>
      </c>
      <c r="U275" s="78"/>
      <c r="V275" s="74">
        <f t="shared" si="122"/>
        <v>0</v>
      </c>
      <c r="W275" s="79">
        <f t="shared" si="123"/>
        <v>0</v>
      </c>
      <c r="X275" s="80"/>
      <c r="AC275" s="154"/>
      <c r="AD275" s="131"/>
      <c r="AE275" s="131"/>
      <c r="AF275" s="131"/>
      <c r="AG275" s="131"/>
      <c r="AH275" s="131"/>
      <c r="AI275" s="150"/>
      <c r="AJ275" s="131"/>
      <c r="AK275" s="84"/>
      <c r="AL275" s="151"/>
      <c r="AM275" s="131"/>
      <c r="AN275" s="152"/>
      <c r="AO275" s="153"/>
      <c r="AP275" s="84"/>
      <c r="AQ275" s="131"/>
      <c r="AR275" s="152"/>
      <c r="AS275" s="153"/>
      <c r="AT275" s="84"/>
      <c r="AU275" s="153"/>
      <c r="AV275" s="84"/>
      <c r="AW275" s="84"/>
      <c r="AX275" s="155"/>
    </row>
    <row r="276" spans="1:50" ht="15" thickBot="1" x14ac:dyDescent="0.35">
      <c r="A276" s="80">
        <f t="shared" si="124"/>
        <v>269</v>
      </c>
      <c r="B276" s="231"/>
      <c r="C276" s="232" t="str">
        <f>IFERROR(VLOOKUP(B276,'Importer Data Fields'!C:D,2,0),"")</f>
        <v/>
      </c>
      <c r="D276" s="70"/>
      <c r="E276" s="71"/>
      <c r="F276" s="72"/>
      <c r="G276" s="70"/>
      <c r="H276" s="71"/>
      <c r="I276" s="73"/>
      <c r="J276" s="70"/>
      <c r="K276" s="74">
        <f t="shared" si="121"/>
        <v>0</v>
      </c>
      <c r="L276" s="75"/>
      <c r="M276" s="70"/>
      <c r="N276" s="76">
        <f t="shared" si="117"/>
        <v>0</v>
      </c>
      <c r="O276" s="77"/>
      <c r="P276" s="74">
        <f t="shared" si="118"/>
        <v>0</v>
      </c>
      <c r="Q276" s="70"/>
      <c r="R276" s="76"/>
      <c r="S276" s="77"/>
      <c r="T276" s="74">
        <f t="shared" si="119"/>
        <v>0</v>
      </c>
      <c r="U276" s="78"/>
      <c r="V276" s="74">
        <f t="shared" si="122"/>
        <v>0</v>
      </c>
      <c r="W276" s="79">
        <f t="shared" si="123"/>
        <v>0</v>
      </c>
      <c r="X276" s="80"/>
      <c r="AC276" s="154"/>
      <c r="AD276" s="131"/>
      <c r="AE276" s="131"/>
      <c r="AF276" s="131"/>
      <c r="AG276" s="131"/>
      <c r="AH276" s="131"/>
      <c r="AI276" s="150"/>
      <c r="AJ276" s="131"/>
      <c r="AK276" s="84"/>
      <c r="AL276" s="151"/>
      <c r="AM276" s="131"/>
      <c r="AN276" s="152"/>
      <c r="AO276" s="153"/>
      <c r="AP276" s="84"/>
      <c r="AQ276" s="131"/>
      <c r="AR276" s="152"/>
      <c r="AS276" s="153"/>
      <c r="AT276" s="84"/>
      <c r="AU276" s="153"/>
      <c r="AV276" s="84"/>
      <c r="AW276" s="84"/>
      <c r="AX276" s="155"/>
    </row>
    <row r="277" spans="1:50" s="85" customFormat="1" ht="15" thickBot="1" x14ac:dyDescent="0.35">
      <c r="A277" s="165">
        <f>A276+1</f>
        <v>270</v>
      </c>
      <c r="B277" s="316" t="s">
        <v>321</v>
      </c>
      <c r="C277" s="317"/>
      <c r="D277" s="167"/>
      <c r="E277" s="168"/>
      <c r="F277" s="169"/>
      <c r="G277" s="167"/>
      <c r="H277" s="168"/>
      <c r="I277" s="170"/>
      <c r="J277" s="167"/>
      <c r="K277" s="171">
        <f t="shared" si="121"/>
        <v>0</v>
      </c>
      <c r="L277" s="172"/>
      <c r="M277" s="167"/>
      <c r="N277" s="173">
        <f t="shared" si="117"/>
        <v>0</v>
      </c>
      <c r="O277" s="174"/>
      <c r="P277" s="171">
        <f t="shared" si="118"/>
        <v>0</v>
      </c>
      <c r="Q277" s="167"/>
      <c r="R277" s="173"/>
      <c r="S277" s="174"/>
      <c r="T277" s="171">
        <f t="shared" si="119"/>
        <v>0</v>
      </c>
      <c r="U277" s="175"/>
      <c r="V277" s="171">
        <f t="shared" si="122"/>
        <v>0</v>
      </c>
      <c r="W277" s="176">
        <f t="shared" si="123"/>
        <v>0</v>
      </c>
      <c r="X277" s="165"/>
      <c r="Y277" s="177">
        <f>SUM(W277:W310)</f>
        <v>0</v>
      </c>
      <c r="Z277"/>
    </row>
    <row r="278" spans="1:50" ht="15" thickBot="1" x14ac:dyDescent="0.35">
      <c r="A278" s="80">
        <f t="shared" si="124"/>
        <v>271</v>
      </c>
      <c r="B278" s="232"/>
      <c r="C278" s="232" t="str">
        <f>IFERROR(VLOOKUP(B278,'Importer Data Fields'!C:D,2,0),"")</f>
        <v/>
      </c>
      <c r="D278" s="70"/>
      <c r="E278" s="71"/>
      <c r="F278" s="72"/>
      <c r="G278" s="70"/>
      <c r="H278" s="71"/>
      <c r="I278" s="73" t="s">
        <v>108</v>
      </c>
      <c r="J278" s="70"/>
      <c r="K278" s="74">
        <f t="shared" si="121"/>
        <v>0</v>
      </c>
      <c r="L278" s="75"/>
      <c r="M278" s="70"/>
      <c r="N278" s="76">
        <f t="shared" si="117"/>
        <v>0</v>
      </c>
      <c r="O278" s="77"/>
      <c r="P278" s="74">
        <f t="shared" si="118"/>
        <v>0</v>
      </c>
      <c r="Q278" s="70"/>
      <c r="R278" s="76"/>
      <c r="S278" s="77"/>
      <c r="T278" s="74">
        <f t="shared" si="119"/>
        <v>0</v>
      </c>
      <c r="U278" s="78"/>
      <c r="V278" s="74">
        <f t="shared" si="122"/>
        <v>0</v>
      </c>
      <c r="W278" s="79">
        <f t="shared" si="123"/>
        <v>0</v>
      </c>
      <c r="X278" s="80"/>
    </row>
    <row r="279" spans="1:50" ht="15" thickBot="1" x14ac:dyDescent="0.35">
      <c r="A279" s="80">
        <f t="shared" si="124"/>
        <v>272</v>
      </c>
      <c r="B279" s="80"/>
      <c r="C279" s="232" t="str">
        <f>IFERROR(VLOOKUP(B279,'Importer Data Fields'!C:D,2,0),"")</f>
        <v/>
      </c>
      <c r="D279" s="70"/>
      <c r="E279" s="71"/>
      <c r="F279" s="72"/>
      <c r="G279" s="70"/>
      <c r="H279" s="71"/>
      <c r="I279" s="73" t="s">
        <v>238</v>
      </c>
      <c r="J279" s="70"/>
      <c r="K279" s="74">
        <f t="shared" si="121"/>
        <v>0</v>
      </c>
      <c r="L279" s="75"/>
      <c r="M279" s="70"/>
      <c r="N279" s="76">
        <f t="shared" si="117"/>
        <v>0</v>
      </c>
      <c r="O279" s="77"/>
      <c r="P279" s="74">
        <f t="shared" si="118"/>
        <v>0</v>
      </c>
      <c r="Q279" s="70"/>
      <c r="R279" s="76"/>
      <c r="S279" s="77"/>
      <c r="T279" s="74">
        <f t="shared" si="119"/>
        <v>0</v>
      </c>
      <c r="U279" s="78"/>
      <c r="V279" s="74">
        <f t="shared" si="122"/>
        <v>0</v>
      </c>
      <c r="W279" s="79">
        <f t="shared" si="123"/>
        <v>0</v>
      </c>
      <c r="X279" s="80"/>
    </row>
    <row r="280" spans="1:50" s="85" customFormat="1" ht="15" thickBot="1" x14ac:dyDescent="0.35">
      <c r="A280" s="80">
        <f t="shared" si="124"/>
        <v>273</v>
      </c>
      <c r="B280" s="80"/>
      <c r="C280" s="232" t="str">
        <f>IFERROR(VLOOKUP(B280,'Importer Data Fields'!C:D,2,0),"")</f>
        <v/>
      </c>
      <c r="D280" s="70"/>
      <c r="E280" s="71"/>
      <c r="F280" s="72"/>
      <c r="G280" s="70"/>
      <c r="H280" s="71"/>
      <c r="I280" s="73" t="s">
        <v>108</v>
      </c>
      <c r="J280" s="70"/>
      <c r="K280" s="74">
        <f t="shared" si="121"/>
        <v>0</v>
      </c>
      <c r="L280" s="75"/>
      <c r="M280" s="70"/>
      <c r="N280" s="76">
        <f t="shared" si="117"/>
        <v>0</v>
      </c>
      <c r="O280" s="77"/>
      <c r="P280" s="74">
        <f t="shared" si="118"/>
        <v>0</v>
      </c>
      <c r="Q280" s="70"/>
      <c r="R280" s="76"/>
      <c r="S280" s="77"/>
      <c r="T280" s="74">
        <f t="shared" si="119"/>
        <v>0</v>
      </c>
      <c r="U280" s="78"/>
      <c r="V280" s="74">
        <f t="shared" si="122"/>
        <v>0</v>
      </c>
      <c r="W280" s="79">
        <f t="shared" si="123"/>
        <v>0</v>
      </c>
      <c r="X280" s="80"/>
      <c r="Y280"/>
      <c r="Z280"/>
    </row>
    <row r="281" spans="1:50" ht="15" thickBot="1" x14ac:dyDescent="0.35">
      <c r="A281" s="80">
        <f t="shared" si="124"/>
        <v>274</v>
      </c>
      <c r="B281" s="80"/>
      <c r="C281" s="232" t="str">
        <f>IFERROR(VLOOKUP(B281,'Importer Data Fields'!C:D,2,0),"")</f>
        <v/>
      </c>
      <c r="D281" s="70"/>
      <c r="E281" s="71"/>
      <c r="F281" s="72"/>
      <c r="G281" s="70"/>
      <c r="H281" s="71"/>
      <c r="I281" s="73" t="s">
        <v>256</v>
      </c>
      <c r="J281" s="70"/>
      <c r="K281" s="74">
        <f t="shared" si="121"/>
        <v>0</v>
      </c>
      <c r="L281" s="75"/>
      <c r="M281" s="70"/>
      <c r="N281" s="76">
        <f t="shared" si="117"/>
        <v>0</v>
      </c>
      <c r="O281" s="77"/>
      <c r="P281" s="74">
        <f t="shared" si="118"/>
        <v>0</v>
      </c>
      <c r="Q281" s="70"/>
      <c r="R281" s="76"/>
      <c r="S281" s="77"/>
      <c r="T281" s="74">
        <f t="shared" si="119"/>
        <v>0</v>
      </c>
      <c r="U281" s="78"/>
      <c r="V281" s="74">
        <f t="shared" si="122"/>
        <v>0</v>
      </c>
      <c r="W281" s="79">
        <f t="shared" si="123"/>
        <v>0</v>
      </c>
      <c r="X281" s="80"/>
    </row>
    <row r="282" spans="1:50" ht="15" thickBot="1" x14ac:dyDescent="0.35">
      <c r="A282" s="80">
        <f t="shared" si="124"/>
        <v>275</v>
      </c>
      <c r="B282" s="80"/>
      <c r="C282" s="232" t="str">
        <f>IFERROR(VLOOKUP(B282,'Importer Data Fields'!C:D,2,0),"")</f>
        <v/>
      </c>
      <c r="D282" s="70"/>
      <c r="E282" s="71"/>
      <c r="F282" s="72"/>
      <c r="G282" s="70"/>
      <c r="H282" s="71"/>
      <c r="I282" s="73" t="s">
        <v>108</v>
      </c>
      <c r="J282" s="70"/>
      <c r="K282" s="74">
        <f t="shared" si="121"/>
        <v>0</v>
      </c>
      <c r="L282" s="75"/>
      <c r="M282" s="70"/>
      <c r="N282" s="76">
        <f t="shared" ref="N282:N293" si="125">ROUND(L282*M282*H282,0)</f>
        <v>0</v>
      </c>
      <c r="O282" s="77"/>
      <c r="P282" s="74">
        <f t="shared" si="118"/>
        <v>0</v>
      </c>
      <c r="Q282" s="70"/>
      <c r="R282" s="76"/>
      <c r="S282" s="77"/>
      <c r="T282" s="74">
        <f t="shared" si="119"/>
        <v>0</v>
      </c>
      <c r="U282" s="78"/>
      <c r="V282" s="74">
        <f t="shared" si="122"/>
        <v>0</v>
      </c>
      <c r="W282" s="79">
        <f t="shared" si="123"/>
        <v>0</v>
      </c>
      <c r="X282" s="80"/>
    </row>
    <row r="283" spans="1:50" ht="15" thickBot="1" x14ac:dyDescent="0.35">
      <c r="A283" s="80">
        <f t="shared" si="124"/>
        <v>276</v>
      </c>
      <c r="B283" s="80"/>
      <c r="C283" s="232" t="str">
        <f>IFERROR(VLOOKUP(B283,'Importer Data Fields'!C:D,2,0),"")</f>
        <v/>
      </c>
      <c r="D283" s="70"/>
      <c r="E283" s="71"/>
      <c r="F283" s="72"/>
      <c r="G283" s="70"/>
      <c r="H283" s="71"/>
      <c r="I283" s="73"/>
      <c r="J283" s="70"/>
      <c r="K283" s="74">
        <f t="shared" si="121"/>
        <v>0</v>
      </c>
      <c r="L283" s="75"/>
      <c r="M283" s="70"/>
      <c r="N283" s="76">
        <f t="shared" si="125"/>
        <v>0</v>
      </c>
      <c r="O283" s="77"/>
      <c r="P283" s="74">
        <f t="shared" si="118"/>
        <v>0</v>
      </c>
      <c r="Q283" s="70"/>
      <c r="R283" s="76"/>
      <c r="S283" s="77"/>
      <c r="T283" s="74">
        <f t="shared" si="119"/>
        <v>0</v>
      </c>
      <c r="U283" s="78"/>
      <c r="V283" s="74">
        <f t="shared" si="122"/>
        <v>0</v>
      </c>
      <c r="W283" s="79">
        <f t="shared" si="123"/>
        <v>0</v>
      </c>
      <c r="X283" s="80"/>
    </row>
    <row r="284" spans="1:50" ht="15" thickBot="1" x14ac:dyDescent="0.35">
      <c r="A284" s="80">
        <f t="shared" si="124"/>
        <v>277</v>
      </c>
      <c r="B284" s="80"/>
      <c r="C284" s="232" t="str">
        <f>IFERROR(VLOOKUP(B284,'Importer Data Fields'!C:D,2,0),"")</f>
        <v/>
      </c>
      <c r="D284" s="70"/>
      <c r="E284" s="71"/>
      <c r="F284" s="72"/>
      <c r="G284" s="70"/>
      <c r="H284" s="71"/>
      <c r="I284" s="73"/>
      <c r="J284" s="70"/>
      <c r="K284" s="74">
        <f t="shared" si="121"/>
        <v>0</v>
      </c>
      <c r="L284" s="75"/>
      <c r="M284" s="70"/>
      <c r="N284" s="76">
        <f t="shared" si="125"/>
        <v>0</v>
      </c>
      <c r="O284" s="77"/>
      <c r="P284" s="74">
        <f t="shared" si="118"/>
        <v>0</v>
      </c>
      <c r="Q284" s="70"/>
      <c r="R284" s="76"/>
      <c r="S284" s="77"/>
      <c r="T284" s="74">
        <f t="shared" si="119"/>
        <v>0</v>
      </c>
      <c r="U284" s="78"/>
      <c r="V284" s="74">
        <f t="shared" si="122"/>
        <v>0</v>
      </c>
      <c r="W284" s="79">
        <f t="shared" si="123"/>
        <v>0</v>
      </c>
      <c r="X284" s="80"/>
    </row>
    <row r="285" spans="1:50" s="85" customFormat="1" ht="15" thickBot="1" x14ac:dyDescent="0.35">
      <c r="A285" s="80">
        <f t="shared" si="124"/>
        <v>278</v>
      </c>
      <c r="B285" s="80" t="s">
        <v>322</v>
      </c>
      <c r="C285" s="232" t="str">
        <f>IFERROR(VLOOKUP(B285,'Importer Data Fields'!C:D,2,0),"")</f>
        <v>Stormwater Area Drains</v>
      </c>
      <c r="D285" s="70"/>
      <c r="E285" s="71"/>
      <c r="F285" s="72"/>
      <c r="G285" s="70"/>
      <c r="H285" s="71"/>
      <c r="I285" s="73" t="s">
        <v>256</v>
      </c>
      <c r="J285" s="70"/>
      <c r="K285" s="74">
        <f t="shared" si="121"/>
        <v>0</v>
      </c>
      <c r="L285" s="75"/>
      <c r="M285" s="70"/>
      <c r="N285" s="76">
        <f t="shared" si="125"/>
        <v>0</v>
      </c>
      <c r="O285" s="77"/>
      <c r="P285" s="74">
        <f t="shared" si="118"/>
        <v>0</v>
      </c>
      <c r="Q285" s="70"/>
      <c r="R285" s="76"/>
      <c r="S285" s="77"/>
      <c r="T285" s="74">
        <f t="shared" si="119"/>
        <v>0</v>
      </c>
      <c r="U285" s="78"/>
      <c r="V285" s="74">
        <f t="shared" si="122"/>
        <v>0</v>
      </c>
      <c r="W285" s="79">
        <f t="shared" si="123"/>
        <v>0</v>
      </c>
      <c r="X285" s="80"/>
      <c r="Y285"/>
      <c r="Z285"/>
    </row>
    <row r="286" spans="1:50" ht="15" thickBot="1" x14ac:dyDescent="0.35">
      <c r="A286" s="80">
        <f t="shared" si="124"/>
        <v>279</v>
      </c>
      <c r="B286" s="80" t="s">
        <v>322</v>
      </c>
      <c r="C286" s="232" t="str">
        <f>IFERROR(VLOOKUP(B286,'Importer Data Fields'!C:D,2,0),"")</f>
        <v>Stormwater Area Drains</v>
      </c>
      <c r="D286" s="70"/>
      <c r="E286" s="71"/>
      <c r="F286" s="72"/>
      <c r="G286" s="70"/>
      <c r="H286" s="71"/>
      <c r="I286" s="73" t="s">
        <v>108</v>
      </c>
      <c r="J286" s="70"/>
      <c r="K286" s="74">
        <f t="shared" si="121"/>
        <v>0</v>
      </c>
      <c r="L286" s="75"/>
      <c r="M286" s="70"/>
      <c r="N286" s="76">
        <f t="shared" si="125"/>
        <v>0</v>
      </c>
      <c r="O286" s="77"/>
      <c r="P286" s="74">
        <f t="shared" si="118"/>
        <v>0</v>
      </c>
      <c r="Q286" s="70"/>
      <c r="R286" s="76"/>
      <c r="S286" s="77"/>
      <c r="T286" s="74">
        <f t="shared" si="119"/>
        <v>0</v>
      </c>
      <c r="U286" s="78"/>
      <c r="V286" s="74">
        <f t="shared" si="122"/>
        <v>0</v>
      </c>
      <c r="W286" s="79">
        <f t="shared" si="123"/>
        <v>0</v>
      </c>
      <c r="X286" s="80"/>
      <c r="Y286" s="83"/>
    </row>
    <row r="287" spans="1:50" ht="15" thickBot="1" x14ac:dyDescent="0.35">
      <c r="A287" s="80">
        <f t="shared" si="124"/>
        <v>280</v>
      </c>
      <c r="B287" s="80" t="s">
        <v>322</v>
      </c>
      <c r="C287" s="232" t="str">
        <f>IFERROR(VLOOKUP(B287,'Importer Data Fields'!C:D,2,0),"")</f>
        <v>Stormwater Area Drains</v>
      </c>
      <c r="D287" s="70"/>
      <c r="E287" s="71"/>
      <c r="F287" s="72"/>
      <c r="G287" s="70"/>
      <c r="H287" s="71"/>
      <c r="I287" s="73" t="s">
        <v>256</v>
      </c>
      <c r="J287" s="70"/>
      <c r="K287" s="74">
        <f t="shared" si="121"/>
        <v>0</v>
      </c>
      <c r="L287" s="75"/>
      <c r="M287" s="70"/>
      <c r="N287" s="76">
        <f t="shared" si="125"/>
        <v>0</v>
      </c>
      <c r="O287" s="77"/>
      <c r="P287" s="74">
        <f t="shared" si="118"/>
        <v>0</v>
      </c>
      <c r="Q287" s="70"/>
      <c r="R287" s="76"/>
      <c r="S287" s="77"/>
      <c r="T287" s="74">
        <f t="shared" si="119"/>
        <v>0</v>
      </c>
      <c r="U287" s="78"/>
      <c r="V287" s="74">
        <f t="shared" si="122"/>
        <v>0</v>
      </c>
      <c r="W287" s="79">
        <f t="shared" si="123"/>
        <v>0</v>
      </c>
      <c r="X287" s="80"/>
      <c r="AC287" s="149"/>
      <c r="AD287" s="131"/>
      <c r="AE287" s="131"/>
      <c r="AF287" s="131"/>
      <c r="AG287" s="131"/>
      <c r="AH287" s="131"/>
      <c r="AI287" s="150"/>
      <c r="AJ287" s="131"/>
      <c r="AK287" s="84"/>
      <c r="AL287" s="151"/>
      <c r="AM287" s="131"/>
      <c r="AN287" s="152"/>
      <c r="AO287" s="153"/>
      <c r="AP287" s="84"/>
      <c r="AQ287" s="131"/>
      <c r="AR287" s="152"/>
      <c r="AS287" s="153"/>
      <c r="AT287" s="84"/>
      <c r="AU287" s="153"/>
      <c r="AV287" s="84"/>
      <c r="AW287" s="84"/>
    </row>
    <row r="288" spans="1:50" ht="15" thickBot="1" x14ac:dyDescent="0.35">
      <c r="A288" s="80">
        <f t="shared" si="124"/>
        <v>281</v>
      </c>
      <c r="B288" s="80" t="s">
        <v>322</v>
      </c>
      <c r="C288" s="232" t="str">
        <f>IFERROR(VLOOKUP(B288,'Importer Data Fields'!C:D,2,0),"")</f>
        <v>Stormwater Area Drains</v>
      </c>
      <c r="D288" s="70"/>
      <c r="E288" s="71"/>
      <c r="F288" s="72"/>
      <c r="G288" s="70"/>
      <c r="H288" s="71"/>
      <c r="I288" s="73" t="s">
        <v>256</v>
      </c>
      <c r="J288" s="70"/>
      <c r="K288" s="74">
        <f t="shared" si="121"/>
        <v>0</v>
      </c>
      <c r="L288" s="75"/>
      <c r="M288" s="70"/>
      <c r="N288" s="76">
        <f t="shared" si="125"/>
        <v>0</v>
      </c>
      <c r="O288" s="77"/>
      <c r="P288" s="74">
        <f t="shared" si="118"/>
        <v>0</v>
      </c>
      <c r="Q288" s="70"/>
      <c r="R288" s="76"/>
      <c r="S288" s="77"/>
      <c r="T288" s="74">
        <f t="shared" si="119"/>
        <v>0</v>
      </c>
      <c r="U288" s="78"/>
      <c r="V288" s="74">
        <f t="shared" si="122"/>
        <v>0</v>
      </c>
      <c r="W288" s="79">
        <f t="shared" si="123"/>
        <v>0</v>
      </c>
      <c r="X288" s="80"/>
      <c r="AC288" s="154"/>
      <c r="AD288" s="131"/>
      <c r="AE288" s="131"/>
      <c r="AF288" s="131"/>
      <c r="AG288" s="131"/>
      <c r="AH288" s="131"/>
      <c r="AI288" s="150"/>
      <c r="AJ288" s="131"/>
      <c r="AK288" s="84"/>
      <c r="AL288" s="151"/>
      <c r="AM288" s="131"/>
      <c r="AN288" s="152"/>
      <c r="AO288" s="153"/>
      <c r="AP288" s="84"/>
      <c r="AQ288" s="131"/>
      <c r="AR288" s="152"/>
      <c r="AS288" s="153"/>
      <c r="AT288" s="84"/>
      <c r="AU288" s="153"/>
      <c r="AV288" s="84"/>
      <c r="AW288" s="84"/>
    </row>
    <row r="289" spans="1:50" ht="15" thickBot="1" x14ac:dyDescent="0.35">
      <c r="A289" s="80">
        <f t="shared" si="124"/>
        <v>282</v>
      </c>
      <c r="B289" s="80"/>
      <c r="C289" s="232" t="str">
        <f>IFERROR(VLOOKUP(B289,'Importer Data Fields'!C:D,2,0),"")</f>
        <v/>
      </c>
      <c r="D289" s="70"/>
      <c r="E289" s="71"/>
      <c r="F289" s="72"/>
      <c r="G289" s="70"/>
      <c r="H289" s="71"/>
      <c r="I289" s="73" t="s">
        <v>238</v>
      </c>
      <c r="J289" s="70"/>
      <c r="K289" s="74">
        <f t="shared" si="121"/>
        <v>0</v>
      </c>
      <c r="L289" s="75"/>
      <c r="M289" s="70"/>
      <c r="N289" s="76">
        <f t="shared" si="125"/>
        <v>0</v>
      </c>
      <c r="O289" s="77"/>
      <c r="P289" s="74">
        <f t="shared" si="118"/>
        <v>0</v>
      </c>
      <c r="Q289" s="70"/>
      <c r="R289" s="76"/>
      <c r="S289" s="77"/>
      <c r="T289" s="74">
        <f t="shared" si="119"/>
        <v>0</v>
      </c>
      <c r="U289" s="78"/>
      <c r="V289" s="74">
        <f t="shared" si="122"/>
        <v>0</v>
      </c>
      <c r="W289" s="79">
        <f t="shared" si="123"/>
        <v>0</v>
      </c>
      <c r="X289" s="80"/>
      <c r="AC289" s="154"/>
      <c r="AD289" s="131"/>
      <c r="AE289" s="131"/>
      <c r="AF289" s="131"/>
      <c r="AG289" s="131"/>
      <c r="AH289" s="131"/>
      <c r="AI289" s="150"/>
      <c r="AJ289" s="131"/>
      <c r="AK289" s="84"/>
      <c r="AL289" s="151"/>
      <c r="AM289" s="131"/>
      <c r="AN289" s="152"/>
      <c r="AO289" s="153"/>
      <c r="AP289" s="84"/>
      <c r="AQ289" s="131"/>
      <c r="AR289" s="152"/>
      <c r="AS289" s="153"/>
      <c r="AT289" s="84"/>
      <c r="AU289" s="153"/>
      <c r="AV289" s="84"/>
      <c r="AW289" s="84"/>
    </row>
    <row r="290" spans="1:50" ht="15" thickBot="1" x14ac:dyDescent="0.35">
      <c r="A290" s="80">
        <f t="shared" si="124"/>
        <v>283</v>
      </c>
      <c r="B290" s="80"/>
      <c r="C290" s="232" t="str">
        <f>IFERROR(VLOOKUP(B290,'Importer Data Fields'!C:D,2,0),"")</f>
        <v/>
      </c>
      <c r="D290" s="70"/>
      <c r="E290" s="71"/>
      <c r="F290" s="72"/>
      <c r="G290" s="70"/>
      <c r="H290" s="71"/>
      <c r="I290" s="73" t="s">
        <v>108</v>
      </c>
      <c r="J290" s="70"/>
      <c r="K290" s="74">
        <f t="shared" si="121"/>
        <v>0</v>
      </c>
      <c r="L290" s="75"/>
      <c r="M290" s="70"/>
      <c r="N290" s="76">
        <f t="shared" si="125"/>
        <v>0</v>
      </c>
      <c r="O290" s="77"/>
      <c r="P290" s="74">
        <f t="shared" si="118"/>
        <v>0</v>
      </c>
      <c r="Q290" s="70"/>
      <c r="R290" s="76"/>
      <c r="S290" s="77"/>
      <c r="T290" s="74">
        <f t="shared" si="119"/>
        <v>0</v>
      </c>
      <c r="U290" s="86"/>
      <c r="V290" s="74">
        <f t="shared" si="122"/>
        <v>0</v>
      </c>
      <c r="W290" s="79">
        <f t="shared" si="123"/>
        <v>0</v>
      </c>
      <c r="X290" s="80"/>
      <c r="AC290" s="154"/>
      <c r="AD290" s="131"/>
      <c r="AE290" s="131"/>
      <c r="AF290" s="131"/>
      <c r="AG290" s="131"/>
      <c r="AH290" s="131"/>
      <c r="AI290" s="150"/>
      <c r="AJ290" s="131"/>
      <c r="AK290" s="84"/>
      <c r="AL290" s="151"/>
      <c r="AM290" s="131"/>
      <c r="AN290" s="152"/>
      <c r="AO290" s="153"/>
      <c r="AP290" s="84"/>
      <c r="AQ290" s="131"/>
      <c r="AR290" s="152"/>
      <c r="AS290" s="153"/>
      <c r="AT290" s="84"/>
      <c r="AU290" s="153"/>
      <c r="AV290" s="84"/>
      <c r="AW290" s="84"/>
      <c r="AX290" s="155"/>
    </row>
    <row r="291" spans="1:50" ht="15" thickBot="1" x14ac:dyDescent="0.35">
      <c r="A291" s="80">
        <f t="shared" si="124"/>
        <v>284</v>
      </c>
      <c r="B291" s="80"/>
      <c r="C291" s="232" t="str">
        <f>IFERROR(VLOOKUP(B291,'Importer Data Fields'!C:D,2,0),"")</f>
        <v/>
      </c>
      <c r="D291" s="70"/>
      <c r="E291" s="71"/>
      <c r="F291" s="72"/>
      <c r="G291" s="70"/>
      <c r="H291" s="71"/>
      <c r="I291" s="73" t="s">
        <v>108</v>
      </c>
      <c r="J291" s="70"/>
      <c r="K291" s="74">
        <f t="shared" si="121"/>
        <v>0</v>
      </c>
      <c r="L291" s="75"/>
      <c r="M291" s="70"/>
      <c r="N291" s="76">
        <f t="shared" si="125"/>
        <v>0</v>
      </c>
      <c r="O291" s="77"/>
      <c r="P291" s="74">
        <f t="shared" si="118"/>
        <v>0</v>
      </c>
      <c r="Q291" s="70"/>
      <c r="R291" s="76"/>
      <c r="S291" s="77"/>
      <c r="T291" s="74">
        <f t="shared" si="119"/>
        <v>0</v>
      </c>
      <c r="U291" s="78"/>
      <c r="V291" s="74">
        <f t="shared" si="122"/>
        <v>0</v>
      </c>
      <c r="W291" s="79">
        <f t="shared" si="123"/>
        <v>0</v>
      </c>
      <c r="X291" s="80"/>
      <c r="AC291" s="154"/>
      <c r="AD291" s="131"/>
      <c r="AE291" s="131"/>
      <c r="AF291" s="131"/>
      <c r="AG291" s="131"/>
      <c r="AH291" s="131"/>
      <c r="AI291" s="150"/>
      <c r="AJ291" s="131"/>
      <c r="AK291" s="84"/>
      <c r="AL291" s="151"/>
      <c r="AM291" s="131"/>
      <c r="AN291" s="152"/>
      <c r="AO291" s="153"/>
      <c r="AP291" s="84"/>
      <c r="AQ291" s="131"/>
      <c r="AR291" s="152"/>
      <c r="AS291" s="153"/>
      <c r="AT291" s="84"/>
      <c r="AU291" s="153"/>
      <c r="AV291" s="84"/>
      <c r="AW291" s="84"/>
      <c r="AX291" s="155"/>
    </row>
    <row r="292" spans="1:50" ht="15" thickBot="1" x14ac:dyDescent="0.35">
      <c r="A292" s="80">
        <f t="shared" si="124"/>
        <v>285</v>
      </c>
      <c r="B292" s="80"/>
      <c r="C292" s="232" t="str">
        <f>IFERROR(VLOOKUP(B292,'Importer Data Fields'!C:D,2,0),"")</f>
        <v/>
      </c>
      <c r="D292" s="70"/>
      <c r="E292" s="71"/>
      <c r="F292" s="72"/>
      <c r="G292" s="70"/>
      <c r="H292" s="71"/>
      <c r="I292" s="73"/>
      <c r="J292" s="70"/>
      <c r="K292" s="74">
        <f t="shared" si="121"/>
        <v>0</v>
      </c>
      <c r="L292" s="75"/>
      <c r="M292" s="70"/>
      <c r="N292" s="76">
        <f t="shared" si="125"/>
        <v>0</v>
      </c>
      <c r="O292" s="77"/>
      <c r="P292" s="74">
        <f t="shared" si="118"/>
        <v>0</v>
      </c>
      <c r="Q292" s="70"/>
      <c r="R292" s="76"/>
      <c r="S292" s="77"/>
      <c r="T292" s="74">
        <f t="shared" si="119"/>
        <v>0</v>
      </c>
      <c r="U292" s="78"/>
      <c r="V292" s="74">
        <f t="shared" si="122"/>
        <v>0</v>
      </c>
      <c r="W292" s="79">
        <f t="shared" si="123"/>
        <v>0</v>
      </c>
      <c r="X292" s="80"/>
      <c r="AC292" s="154"/>
      <c r="AD292" s="131"/>
      <c r="AE292" s="131"/>
      <c r="AF292" s="131"/>
      <c r="AG292" s="131"/>
      <c r="AH292" s="131"/>
      <c r="AI292" s="150"/>
      <c r="AJ292" s="131"/>
      <c r="AK292" s="84"/>
      <c r="AL292" s="151"/>
      <c r="AM292" s="131"/>
      <c r="AN292" s="152"/>
      <c r="AO292" s="153"/>
      <c r="AP292" s="84"/>
      <c r="AQ292" s="131"/>
      <c r="AR292" s="152"/>
      <c r="AS292" s="153"/>
      <c r="AT292" s="84"/>
      <c r="AU292" s="153"/>
      <c r="AV292" s="84"/>
      <c r="AW292" s="84"/>
      <c r="AX292" s="155"/>
    </row>
    <row r="293" spans="1:50" ht="15" thickBot="1" x14ac:dyDescent="0.35">
      <c r="A293" s="80">
        <f t="shared" si="124"/>
        <v>286</v>
      </c>
      <c r="B293" s="80"/>
      <c r="C293" s="232" t="str">
        <f>IFERROR(VLOOKUP(B293,'Importer Data Fields'!C:D,2,0),"")</f>
        <v/>
      </c>
      <c r="D293" s="70"/>
      <c r="E293" s="71"/>
      <c r="F293" s="72"/>
      <c r="G293" s="70"/>
      <c r="H293" s="71"/>
      <c r="I293" s="73"/>
      <c r="J293" s="70"/>
      <c r="K293" s="74">
        <f t="shared" si="121"/>
        <v>0</v>
      </c>
      <c r="L293" s="75"/>
      <c r="M293" s="70"/>
      <c r="N293" s="76">
        <f t="shared" si="125"/>
        <v>0</v>
      </c>
      <c r="O293" s="77"/>
      <c r="P293" s="74">
        <f t="shared" si="118"/>
        <v>0</v>
      </c>
      <c r="Q293" s="70"/>
      <c r="R293" s="76"/>
      <c r="S293" s="77"/>
      <c r="T293" s="74">
        <f t="shared" si="119"/>
        <v>0</v>
      </c>
      <c r="U293" s="78"/>
      <c r="V293" s="74">
        <f t="shared" si="122"/>
        <v>0</v>
      </c>
      <c r="W293" s="79">
        <f t="shared" si="123"/>
        <v>0</v>
      </c>
      <c r="X293" s="80"/>
      <c r="AC293" s="154"/>
      <c r="AD293" s="131"/>
      <c r="AE293" s="131"/>
      <c r="AF293" s="131"/>
      <c r="AG293" s="131"/>
      <c r="AH293" s="131"/>
      <c r="AI293" s="150"/>
      <c r="AJ293" s="131"/>
      <c r="AK293" s="84"/>
      <c r="AL293" s="151"/>
      <c r="AM293" s="131"/>
      <c r="AN293" s="152"/>
      <c r="AO293" s="153"/>
      <c r="AP293" s="84"/>
      <c r="AQ293" s="131"/>
      <c r="AR293" s="152"/>
      <c r="AS293" s="153"/>
      <c r="AT293" s="84"/>
      <c r="AU293" s="153"/>
      <c r="AV293" s="84"/>
      <c r="AW293" s="84"/>
      <c r="AX293" s="155"/>
    </row>
    <row r="294" spans="1:50" ht="15" thickBot="1" x14ac:dyDescent="0.35">
      <c r="A294" s="80">
        <f t="shared" ref="A294" si="126">A293+1</f>
        <v>287</v>
      </c>
      <c r="B294" s="80"/>
      <c r="C294" s="232" t="str">
        <f>IFERROR(VLOOKUP(B294,'Importer Data Fields'!C:D,2,0),"")</f>
        <v/>
      </c>
      <c r="D294" s="70"/>
      <c r="E294" s="71"/>
      <c r="F294" s="72"/>
      <c r="G294" s="70"/>
      <c r="H294" s="71"/>
      <c r="I294" s="73"/>
      <c r="J294" s="70"/>
      <c r="K294" s="74">
        <f t="shared" si="116"/>
        <v>0</v>
      </c>
      <c r="L294" s="75"/>
      <c r="M294" s="70"/>
      <c r="N294" s="76">
        <f t="shared" ref="N294:N311" si="127">L294*M294*H294</f>
        <v>0</v>
      </c>
      <c r="O294" s="77"/>
      <c r="P294" s="74">
        <f t="shared" si="118"/>
        <v>0</v>
      </c>
      <c r="Q294" s="70"/>
      <c r="R294" s="76"/>
      <c r="S294" s="77"/>
      <c r="T294" s="74">
        <f t="shared" si="119"/>
        <v>0</v>
      </c>
      <c r="U294" s="78"/>
      <c r="V294" s="74">
        <f t="shared" si="114"/>
        <v>0</v>
      </c>
      <c r="W294" s="79">
        <f t="shared" si="115"/>
        <v>0</v>
      </c>
      <c r="X294" s="80"/>
    </row>
    <row r="295" spans="1:50" ht="15" thickBot="1" x14ac:dyDescent="0.35">
      <c r="A295" s="80">
        <f t="shared" ref="A295:A311" si="128">A294+1</f>
        <v>288</v>
      </c>
      <c r="B295" s="80"/>
      <c r="C295" s="232" t="str">
        <f>IFERROR(VLOOKUP(B295,'Importer Data Fields'!C:D,2,0),"")</f>
        <v/>
      </c>
      <c r="D295" s="70"/>
      <c r="E295" s="71"/>
      <c r="F295" s="72"/>
      <c r="G295" s="70"/>
      <c r="H295" s="71"/>
      <c r="I295" s="73"/>
      <c r="J295" s="70"/>
      <c r="K295" s="74">
        <f t="shared" si="116"/>
        <v>0</v>
      </c>
      <c r="L295" s="75"/>
      <c r="M295" s="70"/>
      <c r="N295" s="76">
        <f t="shared" si="127"/>
        <v>0</v>
      </c>
      <c r="O295" s="77"/>
      <c r="P295" s="74">
        <f t="shared" si="118"/>
        <v>0</v>
      </c>
      <c r="Q295" s="70"/>
      <c r="R295" s="76"/>
      <c r="S295" s="77"/>
      <c r="T295" s="74">
        <f t="shared" si="119"/>
        <v>0</v>
      </c>
      <c r="U295" s="78"/>
      <c r="V295" s="74">
        <f t="shared" si="114"/>
        <v>0</v>
      </c>
      <c r="W295" s="79">
        <f t="shared" si="115"/>
        <v>0</v>
      </c>
      <c r="X295" s="80"/>
    </row>
    <row r="296" spans="1:50" ht="15" thickBot="1" x14ac:dyDescent="0.35">
      <c r="A296" s="80">
        <f t="shared" si="128"/>
        <v>289</v>
      </c>
      <c r="B296" s="80"/>
      <c r="C296" s="232" t="str">
        <f>IFERROR(VLOOKUP(B296,'Importer Data Fields'!C:D,2,0),"")</f>
        <v/>
      </c>
      <c r="D296" s="70"/>
      <c r="E296" s="71"/>
      <c r="F296" s="72"/>
      <c r="G296" s="70"/>
      <c r="H296" s="71"/>
      <c r="I296" s="73"/>
      <c r="J296" s="70"/>
      <c r="K296" s="74">
        <f t="shared" si="116"/>
        <v>0</v>
      </c>
      <c r="L296" s="75"/>
      <c r="M296" s="70"/>
      <c r="N296" s="76">
        <f t="shared" si="127"/>
        <v>0</v>
      </c>
      <c r="O296" s="77"/>
      <c r="P296" s="74">
        <f t="shared" si="118"/>
        <v>0</v>
      </c>
      <c r="Q296" s="70"/>
      <c r="R296" s="76"/>
      <c r="S296" s="77"/>
      <c r="T296" s="74">
        <f t="shared" si="119"/>
        <v>0</v>
      </c>
      <c r="U296" s="78"/>
      <c r="V296" s="74">
        <f t="shared" si="114"/>
        <v>0</v>
      </c>
      <c r="W296" s="79">
        <f t="shared" si="115"/>
        <v>0</v>
      </c>
      <c r="X296" s="80"/>
    </row>
    <row r="297" spans="1:50" ht="15" thickBot="1" x14ac:dyDescent="0.35">
      <c r="A297" s="80">
        <f t="shared" si="128"/>
        <v>290</v>
      </c>
      <c r="B297" s="80"/>
      <c r="C297" s="232" t="str">
        <f>IFERROR(VLOOKUP(B297,'Importer Data Fields'!C:D,2,0),"")</f>
        <v/>
      </c>
      <c r="D297" s="70"/>
      <c r="E297" s="71"/>
      <c r="F297" s="72"/>
      <c r="G297" s="70"/>
      <c r="H297" s="71"/>
      <c r="I297" s="73"/>
      <c r="J297" s="70"/>
      <c r="K297" s="74">
        <f t="shared" si="116"/>
        <v>0</v>
      </c>
      <c r="L297" s="75"/>
      <c r="M297" s="70"/>
      <c r="N297" s="76">
        <f t="shared" si="127"/>
        <v>0</v>
      </c>
      <c r="O297" s="77"/>
      <c r="P297" s="74">
        <f t="shared" si="118"/>
        <v>0</v>
      </c>
      <c r="Q297" s="70"/>
      <c r="R297" s="76"/>
      <c r="S297" s="77"/>
      <c r="T297" s="74">
        <f t="shared" si="119"/>
        <v>0</v>
      </c>
      <c r="U297" s="78"/>
      <c r="V297" s="74">
        <f t="shared" si="114"/>
        <v>0</v>
      </c>
      <c r="W297" s="79">
        <f t="shared" si="115"/>
        <v>0</v>
      </c>
      <c r="X297" s="80"/>
    </row>
    <row r="298" spans="1:50" ht="15" thickBot="1" x14ac:dyDescent="0.35">
      <c r="A298" s="80">
        <f t="shared" si="128"/>
        <v>291</v>
      </c>
      <c r="B298" s="80"/>
      <c r="C298" s="232" t="str">
        <f>IFERROR(VLOOKUP(B298,'Importer Data Fields'!C:D,2,0),"")</f>
        <v/>
      </c>
      <c r="D298" s="70"/>
      <c r="E298" s="71"/>
      <c r="F298" s="72"/>
      <c r="G298" s="70"/>
      <c r="H298" s="71"/>
      <c r="I298" s="73"/>
      <c r="J298" s="70"/>
      <c r="K298" s="74">
        <f t="shared" si="116"/>
        <v>0</v>
      </c>
      <c r="L298" s="75"/>
      <c r="M298" s="70"/>
      <c r="N298" s="76">
        <f t="shared" si="127"/>
        <v>0</v>
      </c>
      <c r="O298" s="77"/>
      <c r="P298" s="74">
        <f t="shared" si="118"/>
        <v>0</v>
      </c>
      <c r="Q298" s="70"/>
      <c r="R298" s="76"/>
      <c r="S298" s="77"/>
      <c r="T298" s="74">
        <f t="shared" si="119"/>
        <v>0</v>
      </c>
      <c r="U298" s="78"/>
      <c r="V298" s="74">
        <f t="shared" si="114"/>
        <v>0</v>
      </c>
      <c r="W298" s="79">
        <f t="shared" si="115"/>
        <v>0</v>
      </c>
      <c r="X298" s="80"/>
    </row>
    <row r="299" spans="1:50" ht="15" thickBot="1" x14ac:dyDescent="0.35">
      <c r="A299" s="80">
        <f t="shared" si="128"/>
        <v>292</v>
      </c>
      <c r="B299" s="80"/>
      <c r="C299" s="232" t="str">
        <f>IFERROR(VLOOKUP(B299,'Importer Data Fields'!C:D,2,0),"")</f>
        <v/>
      </c>
      <c r="D299" s="70"/>
      <c r="E299" s="71"/>
      <c r="F299" s="72"/>
      <c r="G299" s="70"/>
      <c r="H299" s="71"/>
      <c r="I299" s="73"/>
      <c r="J299" s="70"/>
      <c r="K299" s="74">
        <f t="shared" si="116"/>
        <v>0</v>
      </c>
      <c r="L299" s="75"/>
      <c r="M299" s="70"/>
      <c r="N299" s="76">
        <f t="shared" si="127"/>
        <v>0</v>
      </c>
      <c r="O299" s="77"/>
      <c r="P299" s="74">
        <f t="shared" si="118"/>
        <v>0</v>
      </c>
      <c r="Q299" s="70"/>
      <c r="R299" s="76"/>
      <c r="S299" s="77"/>
      <c r="T299" s="74">
        <f t="shared" si="119"/>
        <v>0</v>
      </c>
      <c r="U299" s="78"/>
      <c r="V299" s="74">
        <f t="shared" si="114"/>
        <v>0</v>
      </c>
      <c r="W299" s="79">
        <f t="shared" si="115"/>
        <v>0</v>
      </c>
      <c r="X299" s="80"/>
    </row>
    <row r="300" spans="1:50" ht="15" thickBot="1" x14ac:dyDescent="0.35">
      <c r="A300" s="80">
        <f t="shared" si="128"/>
        <v>293</v>
      </c>
      <c r="B300" s="80"/>
      <c r="C300" s="232" t="str">
        <f>IFERROR(VLOOKUP(B300,'Importer Data Fields'!C:D,2,0),"")</f>
        <v/>
      </c>
      <c r="D300" s="70"/>
      <c r="E300" s="71"/>
      <c r="F300" s="72"/>
      <c r="G300" s="70"/>
      <c r="H300" s="71"/>
      <c r="I300" s="73"/>
      <c r="J300" s="70"/>
      <c r="K300" s="74">
        <f t="shared" si="116"/>
        <v>0</v>
      </c>
      <c r="L300" s="75"/>
      <c r="M300" s="70"/>
      <c r="N300" s="76">
        <f t="shared" si="127"/>
        <v>0</v>
      </c>
      <c r="O300" s="77"/>
      <c r="P300" s="74">
        <f t="shared" si="118"/>
        <v>0</v>
      </c>
      <c r="Q300" s="70"/>
      <c r="R300" s="76"/>
      <c r="S300" s="77"/>
      <c r="T300" s="74">
        <f t="shared" si="119"/>
        <v>0</v>
      </c>
      <c r="U300" s="78"/>
      <c r="V300" s="74">
        <f t="shared" si="114"/>
        <v>0</v>
      </c>
      <c r="W300" s="79">
        <f t="shared" si="115"/>
        <v>0</v>
      </c>
      <c r="X300" s="80"/>
    </row>
    <row r="301" spans="1:50" ht="15" thickBot="1" x14ac:dyDescent="0.35">
      <c r="A301" s="80">
        <f t="shared" si="128"/>
        <v>294</v>
      </c>
      <c r="B301" s="80"/>
      <c r="C301" s="232" t="str">
        <f>IFERROR(VLOOKUP(B301,'Importer Data Fields'!C:D,2,0),"")</f>
        <v/>
      </c>
      <c r="D301" s="70"/>
      <c r="E301" s="71"/>
      <c r="F301" s="72"/>
      <c r="G301" s="70"/>
      <c r="H301" s="71"/>
      <c r="I301" s="73"/>
      <c r="J301" s="70"/>
      <c r="K301" s="74">
        <f t="shared" si="116"/>
        <v>0</v>
      </c>
      <c r="L301" s="75"/>
      <c r="M301" s="70"/>
      <c r="N301" s="76">
        <f t="shared" si="127"/>
        <v>0</v>
      </c>
      <c r="O301" s="77"/>
      <c r="P301" s="74">
        <f t="shared" si="118"/>
        <v>0</v>
      </c>
      <c r="Q301" s="70"/>
      <c r="R301" s="76"/>
      <c r="S301" s="77"/>
      <c r="T301" s="74">
        <f t="shared" si="119"/>
        <v>0</v>
      </c>
      <c r="U301" s="78"/>
      <c r="V301" s="74">
        <f t="shared" si="114"/>
        <v>0</v>
      </c>
      <c r="W301" s="79">
        <f t="shared" si="115"/>
        <v>0</v>
      </c>
      <c r="X301" s="80"/>
    </row>
    <row r="302" spans="1:50" ht="15" thickBot="1" x14ac:dyDescent="0.35">
      <c r="A302" s="80">
        <f t="shared" si="128"/>
        <v>295</v>
      </c>
      <c r="B302" s="80"/>
      <c r="C302" s="232" t="str">
        <f>IFERROR(VLOOKUP(B302,'Importer Data Fields'!C:D,2,0),"")</f>
        <v/>
      </c>
      <c r="D302" s="70"/>
      <c r="E302" s="71"/>
      <c r="F302" s="72"/>
      <c r="G302" s="70"/>
      <c r="H302" s="71"/>
      <c r="I302" s="73"/>
      <c r="J302" s="70"/>
      <c r="K302" s="74">
        <f t="shared" si="116"/>
        <v>0</v>
      </c>
      <c r="L302" s="75"/>
      <c r="M302" s="70"/>
      <c r="N302" s="76">
        <f t="shared" si="127"/>
        <v>0</v>
      </c>
      <c r="O302" s="77"/>
      <c r="P302" s="74">
        <f t="shared" si="118"/>
        <v>0</v>
      </c>
      <c r="Q302" s="70"/>
      <c r="R302" s="76"/>
      <c r="S302" s="77"/>
      <c r="T302" s="74">
        <f t="shared" si="119"/>
        <v>0</v>
      </c>
      <c r="U302" s="78"/>
      <c r="V302" s="74">
        <f t="shared" si="114"/>
        <v>0</v>
      </c>
      <c r="W302" s="79">
        <f t="shared" si="115"/>
        <v>0</v>
      </c>
      <c r="X302" s="80"/>
    </row>
    <row r="303" spans="1:50" ht="15" thickBot="1" x14ac:dyDescent="0.35">
      <c r="A303" s="80">
        <f t="shared" si="128"/>
        <v>296</v>
      </c>
      <c r="B303" s="80"/>
      <c r="C303" s="232" t="str">
        <f>IFERROR(VLOOKUP(B303,'Importer Data Fields'!C:D,2,0),"")</f>
        <v/>
      </c>
      <c r="D303" s="70"/>
      <c r="E303" s="71"/>
      <c r="F303" s="72"/>
      <c r="G303" s="70"/>
      <c r="H303" s="71"/>
      <c r="I303" s="73"/>
      <c r="J303" s="70"/>
      <c r="K303" s="74">
        <f t="shared" si="116"/>
        <v>0</v>
      </c>
      <c r="L303" s="75"/>
      <c r="M303" s="70"/>
      <c r="N303" s="76">
        <f t="shared" si="127"/>
        <v>0</v>
      </c>
      <c r="O303" s="77"/>
      <c r="P303" s="74">
        <f t="shared" si="118"/>
        <v>0</v>
      </c>
      <c r="Q303" s="70"/>
      <c r="R303" s="76"/>
      <c r="S303" s="77"/>
      <c r="T303" s="74">
        <f t="shared" si="119"/>
        <v>0</v>
      </c>
      <c r="U303" s="78"/>
      <c r="V303" s="74">
        <f t="shared" si="114"/>
        <v>0</v>
      </c>
      <c r="W303" s="79">
        <f t="shared" si="115"/>
        <v>0</v>
      </c>
      <c r="X303" s="80"/>
    </row>
    <row r="304" spans="1:50" ht="15" thickBot="1" x14ac:dyDescent="0.35">
      <c r="A304" s="80">
        <f t="shared" si="128"/>
        <v>297</v>
      </c>
      <c r="B304" s="80"/>
      <c r="C304" s="232" t="str">
        <f>IFERROR(VLOOKUP(B304,'Importer Data Fields'!C:D,2,0),"")</f>
        <v/>
      </c>
      <c r="D304" s="70"/>
      <c r="E304" s="71"/>
      <c r="F304" s="72"/>
      <c r="G304" s="70"/>
      <c r="H304" s="71"/>
      <c r="I304" s="73"/>
      <c r="J304" s="70"/>
      <c r="K304" s="74">
        <f t="shared" si="116"/>
        <v>0</v>
      </c>
      <c r="L304" s="75"/>
      <c r="M304" s="70"/>
      <c r="N304" s="76">
        <f t="shared" si="127"/>
        <v>0</v>
      </c>
      <c r="O304" s="77"/>
      <c r="P304" s="74">
        <f t="shared" si="118"/>
        <v>0</v>
      </c>
      <c r="Q304" s="70"/>
      <c r="R304" s="76"/>
      <c r="S304" s="77"/>
      <c r="T304" s="74">
        <f t="shared" si="119"/>
        <v>0</v>
      </c>
      <c r="U304" s="78"/>
      <c r="V304" s="74">
        <f t="shared" si="114"/>
        <v>0</v>
      </c>
      <c r="W304" s="79">
        <f t="shared" si="115"/>
        <v>0</v>
      </c>
      <c r="X304" s="80"/>
    </row>
    <row r="305" spans="1:25" ht="15" thickBot="1" x14ac:dyDescent="0.35">
      <c r="A305" s="80">
        <f t="shared" si="128"/>
        <v>298</v>
      </c>
      <c r="B305" s="80"/>
      <c r="C305" s="232" t="str">
        <f>IFERROR(VLOOKUP(B305,'Importer Data Fields'!C:D,2,0),"")</f>
        <v/>
      </c>
      <c r="D305" s="70"/>
      <c r="E305" s="71"/>
      <c r="F305" s="72"/>
      <c r="G305" s="70"/>
      <c r="H305" s="71"/>
      <c r="I305" s="73"/>
      <c r="J305" s="70"/>
      <c r="K305" s="74">
        <f t="shared" si="116"/>
        <v>0</v>
      </c>
      <c r="L305" s="75"/>
      <c r="M305" s="70"/>
      <c r="N305" s="76">
        <f t="shared" si="127"/>
        <v>0</v>
      </c>
      <c r="O305" s="77"/>
      <c r="P305" s="74">
        <f t="shared" si="118"/>
        <v>0</v>
      </c>
      <c r="Q305" s="70"/>
      <c r="R305" s="76"/>
      <c r="S305" s="77"/>
      <c r="T305" s="74">
        <f t="shared" si="119"/>
        <v>0</v>
      </c>
      <c r="U305" s="78"/>
      <c r="V305" s="74">
        <f t="shared" si="114"/>
        <v>0</v>
      </c>
      <c r="W305" s="79">
        <f t="shared" si="115"/>
        <v>0</v>
      </c>
      <c r="X305" s="80"/>
    </row>
    <row r="306" spans="1:25" ht="15" thickBot="1" x14ac:dyDescent="0.35">
      <c r="A306" s="80">
        <f t="shared" si="128"/>
        <v>299</v>
      </c>
      <c r="B306" s="80"/>
      <c r="C306" s="232" t="str">
        <f>IFERROR(VLOOKUP(B306,'Importer Data Fields'!C:D,2,0),"")</f>
        <v/>
      </c>
      <c r="D306" s="70"/>
      <c r="E306" s="71"/>
      <c r="F306" s="72"/>
      <c r="G306" s="70"/>
      <c r="H306" s="71"/>
      <c r="I306" s="73"/>
      <c r="J306" s="70"/>
      <c r="K306" s="74">
        <f t="shared" si="116"/>
        <v>0</v>
      </c>
      <c r="L306" s="75"/>
      <c r="M306" s="70"/>
      <c r="N306" s="76">
        <f t="shared" si="127"/>
        <v>0</v>
      </c>
      <c r="O306" s="77"/>
      <c r="P306" s="74">
        <f t="shared" si="118"/>
        <v>0</v>
      </c>
      <c r="Q306" s="70"/>
      <c r="R306" s="76"/>
      <c r="S306" s="77"/>
      <c r="T306" s="74">
        <f t="shared" si="119"/>
        <v>0</v>
      </c>
      <c r="U306" s="78"/>
      <c r="V306" s="74">
        <f t="shared" si="114"/>
        <v>0</v>
      </c>
      <c r="W306" s="79">
        <f t="shared" si="115"/>
        <v>0</v>
      </c>
      <c r="X306" s="80"/>
    </row>
    <row r="307" spans="1:25" ht="15" thickBot="1" x14ac:dyDescent="0.35">
      <c r="A307" s="80">
        <f t="shared" si="128"/>
        <v>300</v>
      </c>
      <c r="B307" s="80"/>
      <c r="C307" s="232" t="str">
        <f>IFERROR(VLOOKUP(B307,'Importer Data Fields'!C:D,2,0),"")</f>
        <v/>
      </c>
      <c r="D307" s="70"/>
      <c r="E307" s="71"/>
      <c r="F307" s="72"/>
      <c r="G307" s="70"/>
      <c r="H307" s="71"/>
      <c r="I307" s="73"/>
      <c r="J307" s="70"/>
      <c r="K307" s="74">
        <f t="shared" si="116"/>
        <v>0</v>
      </c>
      <c r="L307" s="75"/>
      <c r="M307" s="70"/>
      <c r="N307" s="76">
        <f t="shared" si="127"/>
        <v>0</v>
      </c>
      <c r="O307" s="77"/>
      <c r="P307" s="74">
        <f t="shared" si="118"/>
        <v>0</v>
      </c>
      <c r="Q307" s="70"/>
      <c r="R307" s="76"/>
      <c r="S307" s="77"/>
      <c r="T307" s="74">
        <f t="shared" si="119"/>
        <v>0</v>
      </c>
      <c r="U307" s="78"/>
      <c r="V307" s="74">
        <f t="shared" si="114"/>
        <v>0</v>
      </c>
      <c r="W307" s="79">
        <f t="shared" si="115"/>
        <v>0</v>
      </c>
      <c r="X307" s="80"/>
    </row>
    <row r="308" spans="1:25" ht="15" thickBot="1" x14ac:dyDescent="0.35">
      <c r="A308" s="80">
        <f t="shared" si="128"/>
        <v>301</v>
      </c>
      <c r="B308" s="80"/>
      <c r="C308" s="232" t="str">
        <f>IFERROR(VLOOKUP(B308,'Importer Data Fields'!C:D,2,0),"")</f>
        <v/>
      </c>
      <c r="D308" s="70"/>
      <c r="E308" s="71"/>
      <c r="F308" s="72"/>
      <c r="G308" s="70"/>
      <c r="H308" s="71"/>
      <c r="I308" s="73"/>
      <c r="J308" s="70"/>
      <c r="K308" s="74">
        <f t="shared" si="116"/>
        <v>0</v>
      </c>
      <c r="L308" s="75"/>
      <c r="M308" s="70"/>
      <c r="N308" s="76">
        <f t="shared" si="127"/>
        <v>0</v>
      </c>
      <c r="O308" s="77"/>
      <c r="P308" s="74">
        <f t="shared" si="118"/>
        <v>0</v>
      </c>
      <c r="Q308" s="70"/>
      <c r="R308" s="76"/>
      <c r="S308" s="77"/>
      <c r="T308" s="74">
        <f t="shared" si="119"/>
        <v>0</v>
      </c>
      <c r="U308" s="78"/>
      <c r="V308" s="74">
        <f t="shared" si="114"/>
        <v>0</v>
      </c>
      <c r="W308" s="79">
        <f t="shared" si="115"/>
        <v>0</v>
      </c>
      <c r="X308" s="80"/>
    </row>
    <row r="309" spans="1:25" ht="15" thickBot="1" x14ac:dyDescent="0.35">
      <c r="A309" s="80">
        <f t="shared" si="128"/>
        <v>302</v>
      </c>
      <c r="B309" s="80"/>
      <c r="C309" s="232" t="str">
        <f>IFERROR(VLOOKUP(B309,'Importer Data Fields'!C:D,2,0),"")</f>
        <v/>
      </c>
      <c r="D309" s="70"/>
      <c r="E309" s="71"/>
      <c r="F309" s="72"/>
      <c r="G309" s="70"/>
      <c r="H309" s="71"/>
      <c r="I309" s="73"/>
      <c r="J309" s="70"/>
      <c r="K309" s="74">
        <f t="shared" si="116"/>
        <v>0</v>
      </c>
      <c r="L309" s="75"/>
      <c r="M309" s="70"/>
      <c r="N309" s="76">
        <f t="shared" si="127"/>
        <v>0</v>
      </c>
      <c r="O309" s="77"/>
      <c r="P309" s="74">
        <f t="shared" si="118"/>
        <v>0</v>
      </c>
      <c r="Q309" s="70"/>
      <c r="R309" s="76"/>
      <c r="S309" s="77"/>
      <c r="T309" s="74">
        <f t="shared" si="119"/>
        <v>0</v>
      </c>
      <c r="U309" s="86"/>
      <c r="V309" s="74">
        <f t="shared" si="114"/>
        <v>0</v>
      </c>
      <c r="W309" s="79">
        <f t="shared" si="115"/>
        <v>0</v>
      </c>
      <c r="X309" s="80"/>
    </row>
    <row r="310" spans="1:25" ht="15" thickBot="1" x14ac:dyDescent="0.35">
      <c r="A310" s="80">
        <f t="shared" si="128"/>
        <v>303</v>
      </c>
      <c r="B310" s="80"/>
      <c r="C310" s="232" t="str">
        <f>IFERROR(VLOOKUP(B310,'Importer Data Fields'!C:D,2,0),"")</f>
        <v/>
      </c>
      <c r="D310" s="70"/>
      <c r="E310" s="71"/>
      <c r="F310" s="72"/>
      <c r="G310" s="70"/>
      <c r="H310" s="71"/>
      <c r="I310" s="73"/>
      <c r="J310" s="70"/>
      <c r="K310" s="74">
        <f t="shared" si="116"/>
        <v>0</v>
      </c>
      <c r="L310" s="75"/>
      <c r="M310" s="70"/>
      <c r="N310" s="76">
        <f t="shared" si="127"/>
        <v>0</v>
      </c>
      <c r="O310" s="77"/>
      <c r="P310" s="74">
        <f t="shared" si="118"/>
        <v>0</v>
      </c>
      <c r="Q310" s="70"/>
      <c r="R310" s="76"/>
      <c r="S310" s="77"/>
      <c r="T310" s="74">
        <f t="shared" si="119"/>
        <v>0</v>
      </c>
      <c r="U310" s="78"/>
      <c r="V310" s="74">
        <f t="shared" si="114"/>
        <v>0</v>
      </c>
      <c r="W310" s="79">
        <f t="shared" si="115"/>
        <v>0</v>
      </c>
      <c r="X310" s="80"/>
    </row>
    <row r="311" spans="1:25" s="104" customFormat="1" x14ac:dyDescent="0.3">
      <c r="A311" s="80">
        <f t="shared" si="128"/>
        <v>304</v>
      </c>
      <c r="B311" s="80"/>
      <c r="C311" s="232" t="str">
        <f>IFERROR(VLOOKUP(B311,'Importer Data Fields'!C:D,2,0),"")</f>
        <v/>
      </c>
      <c r="D311" s="92"/>
      <c r="E311" s="93"/>
      <c r="F311" s="94"/>
      <c r="G311" s="92"/>
      <c r="H311" s="93"/>
      <c r="I311" s="95"/>
      <c r="J311" s="92"/>
      <c r="K311" s="96">
        <f t="shared" si="116"/>
        <v>0</v>
      </c>
      <c r="L311" s="97"/>
      <c r="M311" s="92"/>
      <c r="N311" s="98">
        <f t="shared" si="127"/>
        <v>0</v>
      </c>
      <c r="O311" s="99"/>
      <c r="P311" s="96">
        <f t="shared" si="118"/>
        <v>0</v>
      </c>
      <c r="Q311" s="92"/>
      <c r="R311" s="98"/>
      <c r="S311" s="99"/>
      <c r="T311" s="96">
        <f t="shared" si="119"/>
        <v>0</v>
      </c>
      <c r="U311" s="100"/>
      <c r="V311" s="96">
        <f t="shared" si="114"/>
        <v>0</v>
      </c>
      <c r="W311" s="101">
        <f t="shared" si="115"/>
        <v>0</v>
      </c>
      <c r="X311" s="102"/>
      <c r="Y311" s="103"/>
    </row>
    <row r="312" spans="1:25" s="49" customFormat="1" ht="15" thickBot="1" x14ac:dyDescent="0.35">
      <c r="A312" s="80"/>
      <c r="I312" s="105"/>
      <c r="O312" s="54"/>
      <c r="S312" s="54"/>
      <c r="U312" s="52"/>
    </row>
    <row r="313" spans="1:25" x14ac:dyDescent="0.3">
      <c r="A313" s="80">
        <f t="shared" ref="A313:A323" si="129">A312+1</f>
        <v>1</v>
      </c>
      <c r="C313" s="106" t="s">
        <v>323</v>
      </c>
      <c r="D313" s="49"/>
      <c r="E313" s="49"/>
      <c r="F313" s="49"/>
      <c r="G313" s="49"/>
      <c r="H313" s="49"/>
      <c r="I313" s="105"/>
      <c r="J313" s="49"/>
      <c r="K313" s="107">
        <f>SUM(K8:K312)</f>
        <v>0</v>
      </c>
      <c r="L313" s="49"/>
      <c r="M313" s="49"/>
      <c r="N313" s="49"/>
      <c r="O313" s="54"/>
      <c r="P313" s="84">
        <f>SUM(P8:P312)</f>
        <v>0</v>
      </c>
      <c r="Q313" s="49"/>
      <c r="R313" s="49"/>
      <c r="S313" s="54"/>
      <c r="T313" s="84">
        <f>SUM(T8:T312)</f>
        <v>0</v>
      </c>
      <c r="U313" s="52"/>
      <c r="V313" s="84">
        <f>SUM(V8:V312)</f>
        <v>0</v>
      </c>
      <c r="W313" s="108">
        <f>SUM(W8:W311)</f>
        <v>0</v>
      </c>
      <c r="X313" s="109"/>
    </row>
    <row r="314" spans="1:25" x14ac:dyDescent="0.3">
      <c r="A314" s="80">
        <f t="shared" si="129"/>
        <v>2</v>
      </c>
      <c r="C314" s="106" t="s">
        <v>324</v>
      </c>
      <c r="D314" s="49"/>
      <c r="E314" s="49"/>
      <c r="F314" s="49"/>
      <c r="G314" s="49"/>
      <c r="H314" s="107">
        <f>K313</f>
        <v>0</v>
      </c>
      <c r="I314" s="110">
        <v>7.0000000000000007E-2</v>
      </c>
      <c r="J314" s="49"/>
      <c r="K314" s="84">
        <f>$I314*$H314</f>
        <v>0</v>
      </c>
      <c r="L314" s="49"/>
      <c r="M314" s="49"/>
      <c r="N314" s="49"/>
      <c r="O314" s="54"/>
      <c r="P314" s="49"/>
      <c r="Q314" s="107">
        <f>T313</f>
        <v>0</v>
      </c>
      <c r="R314" s="110">
        <v>7.0000000000000007E-2</v>
      </c>
      <c r="S314" s="49"/>
      <c r="T314" s="84">
        <f>$R314*$Q314</f>
        <v>0</v>
      </c>
      <c r="U314" s="52"/>
      <c r="V314" s="49"/>
      <c r="W314" s="108">
        <f>K314+T314</f>
        <v>0</v>
      </c>
      <c r="X314" s="89"/>
    </row>
    <row r="315" spans="1:25" ht="15" thickBot="1" x14ac:dyDescent="0.35">
      <c r="A315" s="80">
        <f t="shared" si="129"/>
        <v>3</v>
      </c>
      <c r="C315" s="111" t="s">
        <v>325</v>
      </c>
      <c r="D315" s="49"/>
      <c r="E315" s="49"/>
      <c r="F315" s="49"/>
      <c r="G315" s="49"/>
      <c r="H315" s="49"/>
      <c r="I315" s="105"/>
      <c r="J315" s="49"/>
      <c r="K315" s="49"/>
      <c r="L315" s="49"/>
      <c r="M315" s="49"/>
      <c r="N315" s="112"/>
      <c r="O315" s="113"/>
      <c r="P315" s="84">
        <f>P313*Q315</f>
        <v>0</v>
      </c>
      <c r="Q315" s="114">
        <v>0</v>
      </c>
      <c r="R315" s="112"/>
      <c r="S315" s="113"/>
      <c r="T315" s="49"/>
      <c r="U315" s="52"/>
      <c r="V315" s="49"/>
      <c r="W315" s="108">
        <f>P315</f>
        <v>0</v>
      </c>
      <c r="X315" s="89"/>
    </row>
    <row r="316" spans="1:25" ht="15" thickBot="1" x14ac:dyDescent="0.35">
      <c r="A316" s="80">
        <f t="shared" si="129"/>
        <v>4</v>
      </c>
      <c r="B316" s="49"/>
      <c r="C316" s="49"/>
      <c r="D316" s="49"/>
      <c r="E316" s="49"/>
      <c r="F316" s="49"/>
      <c r="G316" s="49"/>
      <c r="H316" s="49"/>
      <c r="I316" s="105"/>
      <c r="J316" s="49"/>
      <c r="K316" s="49"/>
      <c r="L316" s="49"/>
      <c r="M316" s="49"/>
      <c r="N316" s="49"/>
      <c r="O316" s="54"/>
      <c r="P316" s="49"/>
      <c r="Q316" s="49"/>
      <c r="R316" s="49"/>
      <c r="S316" s="54"/>
      <c r="T316" s="49"/>
      <c r="U316" s="52"/>
      <c r="V316" s="49"/>
      <c r="W316" s="49"/>
      <c r="X316" s="89"/>
    </row>
    <row r="317" spans="1:25" x14ac:dyDescent="0.3">
      <c r="A317" s="80">
        <f t="shared" si="129"/>
        <v>5</v>
      </c>
      <c r="B317" s="115"/>
      <c r="C317" s="106" t="s">
        <v>326</v>
      </c>
      <c r="D317" s="49"/>
      <c r="E317" s="49"/>
      <c r="F317" s="49"/>
      <c r="G317" s="49"/>
      <c r="H317" s="49"/>
      <c r="I317" s="105"/>
      <c r="J317" s="49"/>
      <c r="K317" s="49"/>
      <c r="L317" s="49"/>
      <c r="M317" s="49"/>
      <c r="N317" s="49"/>
      <c r="O317" s="54"/>
      <c r="P317" s="49"/>
      <c r="Q317" s="49"/>
      <c r="R317" s="49"/>
      <c r="S317" s="54"/>
      <c r="T317" s="49"/>
      <c r="U317" s="52"/>
      <c r="V317" s="49"/>
      <c r="W317" s="108">
        <f>SUM(W313:W315)</f>
        <v>0</v>
      </c>
      <c r="X317" s="89"/>
    </row>
    <row r="318" spans="1:25" x14ac:dyDescent="0.3">
      <c r="A318" s="80">
        <f t="shared" si="129"/>
        <v>6</v>
      </c>
      <c r="B318" s="116"/>
      <c r="C318" s="106" t="s">
        <v>327</v>
      </c>
      <c r="D318" s="49"/>
      <c r="E318" s="49"/>
      <c r="F318" s="49"/>
      <c r="G318" s="49"/>
      <c r="H318" s="84">
        <f>W317*I318</f>
        <v>0</v>
      </c>
      <c r="I318" s="117">
        <v>0</v>
      </c>
      <c r="J318" s="49"/>
      <c r="K318" s="49"/>
      <c r="L318" s="49"/>
      <c r="M318" s="49"/>
      <c r="N318" s="49"/>
      <c r="O318" s="54"/>
      <c r="P318" s="49"/>
      <c r="Q318" s="49"/>
      <c r="R318" s="49"/>
      <c r="S318" s="54"/>
      <c r="T318" s="49"/>
      <c r="U318" s="52"/>
      <c r="V318" s="49"/>
      <c r="W318" s="118">
        <f>H318</f>
        <v>0</v>
      </c>
      <c r="X318" s="89"/>
    </row>
    <row r="319" spans="1:25" x14ac:dyDescent="0.3">
      <c r="A319" s="80">
        <f t="shared" si="129"/>
        <v>7</v>
      </c>
      <c r="B319" s="116"/>
      <c r="C319" s="106" t="s">
        <v>60</v>
      </c>
      <c r="D319" s="49"/>
      <c r="E319" s="49"/>
      <c r="F319" s="49"/>
      <c r="G319" s="49"/>
      <c r="H319" s="119">
        <v>3000</v>
      </c>
      <c r="I319" s="120" t="s">
        <v>328</v>
      </c>
      <c r="J319" s="121"/>
      <c r="K319" s="122"/>
      <c r="L319" s="123" t="s">
        <v>329</v>
      </c>
      <c r="M319" s="121"/>
      <c r="N319" s="49"/>
      <c r="O319" s="54"/>
      <c r="P319" s="49"/>
      <c r="Q319" s="49"/>
      <c r="R319" s="49"/>
      <c r="S319" s="54"/>
      <c r="T319" s="49"/>
      <c r="U319" s="52"/>
      <c r="V319" s="49"/>
      <c r="W319" s="108">
        <f>H319*K319</f>
        <v>0</v>
      </c>
      <c r="X319" s="89"/>
    </row>
    <row r="320" spans="1:25" x14ac:dyDescent="0.3">
      <c r="A320" s="80">
        <f t="shared" si="129"/>
        <v>8</v>
      </c>
      <c r="B320" s="116"/>
      <c r="C320" s="106" t="s">
        <v>330</v>
      </c>
      <c r="D320" s="49"/>
      <c r="E320" s="49"/>
      <c r="F320" s="49"/>
      <c r="G320" s="49"/>
      <c r="H320" s="49"/>
      <c r="I320" s="105"/>
      <c r="J320" s="49"/>
      <c r="K320" s="49"/>
      <c r="L320" s="49"/>
      <c r="M320" s="49"/>
      <c r="N320" s="49"/>
      <c r="O320" s="54"/>
      <c r="P320" s="49"/>
      <c r="Q320" s="49"/>
      <c r="R320" s="49"/>
      <c r="S320" s="54"/>
      <c r="T320" s="49"/>
      <c r="U320" s="52"/>
      <c r="V320" s="49"/>
      <c r="W320" s="108">
        <f>SUM(W317,W319)</f>
        <v>0</v>
      </c>
      <c r="X320" s="89"/>
    </row>
    <row r="321" spans="1:49" x14ac:dyDescent="0.3">
      <c r="A321" s="80">
        <f t="shared" si="129"/>
        <v>9</v>
      </c>
      <c r="B321" s="116"/>
      <c r="C321" s="106" t="s">
        <v>47</v>
      </c>
      <c r="D321" s="49"/>
      <c r="E321" s="49"/>
      <c r="F321" s="49"/>
      <c r="G321" s="49"/>
      <c r="H321" s="49"/>
      <c r="I321" s="105"/>
      <c r="J321" s="49"/>
      <c r="K321" s="49"/>
      <c r="L321" s="49"/>
      <c r="M321" s="49"/>
      <c r="N321" s="49"/>
      <c r="O321" s="54"/>
      <c r="P321" s="49"/>
      <c r="Q321" s="49"/>
      <c r="R321" s="49"/>
      <c r="S321" s="54"/>
      <c r="T321" s="49"/>
      <c r="U321" s="52"/>
      <c r="V321" s="124">
        <v>0</v>
      </c>
      <c r="W321" s="108">
        <f>V321*W320</f>
        <v>0</v>
      </c>
      <c r="X321" s="89"/>
    </row>
    <row r="322" spans="1:49" ht="15" thickBot="1" x14ac:dyDescent="0.35">
      <c r="A322" s="80">
        <f t="shared" si="129"/>
        <v>10</v>
      </c>
      <c r="B322" s="116"/>
      <c r="C322" s="106" t="s">
        <v>331</v>
      </c>
      <c r="D322" s="49"/>
      <c r="E322" s="49"/>
      <c r="F322" s="49"/>
      <c r="G322" s="49"/>
      <c r="H322" s="49"/>
      <c r="I322" s="105"/>
      <c r="J322" s="49"/>
      <c r="K322" s="49"/>
      <c r="L322" s="49"/>
      <c r="M322" s="49"/>
      <c r="N322" s="49"/>
      <c r="O322" s="54"/>
      <c r="P322" s="49"/>
      <c r="Q322" s="49"/>
      <c r="R322" s="49"/>
      <c r="S322" s="54"/>
      <c r="T322" s="49"/>
      <c r="U322" s="52"/>
      <c r="V322" s="124">
        <v>0</v>
      </c>
      <c r="W322" s="125">
        <f>V322*W320</f>
        <v>0</v>
      </c>
      <c r="X322" s="89"/>
    </row>
    <row r="323" spans="1:49" ht="15" thickBot="1" x14ac:dyDescent="0.35">
      <c r="A323" s="80">
        <f t="shared" si="129"/>
        <v>11</v>
      </c>
      <c r="B323" s="126"/>
      <c r="C323" s="111" t="s">
        <v>332</v>
      </c>
      <c r="D323" s="49"/>
      <c r="E323" s="49"/>
      <c r="F323" s="49"/>
      <c r="G323" s="49"/>
      <c r="H323" s="49"/>
      <c r="I323" s="105"/>
      <c r="J323" s="49"/>
      <c r="K323" s="49"/>
      <c r="L323" s="49"/>
      <c r="M323" s="49"/>
      <c r="N323" s="49"/>
      <c r="O323" s="54"/>
      <c r="P323" s="49"/>
      <c r="Q323" s="49"/>
      <c r="R323" s="49"/>
      <c r="S323" s="54"/>
      <c r="T323" s="49"/>
      <c r="U323" s="52"/>
      <c r="V323" s="49"/>
      <c r="W323" s="127">
        <f>SUM(W320:W322)</f>
        <v>0</v>
      </c>
      <c r="X323" s="128"/>
    </row>
    <row r="326" spans="1:49" ht="15" thickBot="1" x14ac:dyDescent="0.35">
      <c r="C326" s="106" t="s">
        <v>333</v>
      </c>
      <c r="E326" s="130" t="s">
        <v>334</v>
      </c>
      <c r="F326" s="130" t="s">
        <v>335</v>
      </c>
      <c r="G326" s="130" t="s">
        <v>336</v>
      </c>
      <c r="J326" s="131"/>
      <c r="AC326" s="106"/>
      <c r="AI326" s="34"/>
      <c r="AO326" s="56"/>
      <c r="AS326" s="56"/>
      <c r="AU326" s="129"/>
    </row>
    <row r="327" spans="1:49" ht="15" thickBot="1" x14ac:dyDescent="0.35">
      <c r="C327" s="85" t="s">
        <v>337</v>
      </c>
      <c r="E327" s="131"/>
      <c r="F327" s="131"/>
      <c r="G327" s="132"/>
      <c r="H327" s="131"/>
      <c r="I327" t="s">
        <v>338</v>
      </c>
      <c r="J327" s="131"/>
      <c r="K327">
        <f t="shared" ref="K327:K344" si="130">J327*H327</f>
        <v>0</v>
      </c>
      <c r="P327">
        <f t="shared" ref="P327:P344" si="131">O327*N327</f>
        <v>0</v>
      </c>
      <c r="S327" s="56">
        <f t="shared" ref="S327:T344" si="132">R327*P327</f>
        <v>0</v>
      </c>
      <c r="T327">
        <f t="shared" si="132"/>
        <v>0</v>
      </c>
      <c r="U327" s="129">
        <v>0.25</v>
      </c>
      <c r="V327" s="133">
        <f t="shared" ref="V327:V344" si="133">H327*U327</f>
        <v>0</v>
      </c>
      <c r="W327" s="79">
        <f>V327+T327+P327+K327</f>
        <v>0</v>
      </c>
      <c r="AC327" s="85"/>
      <c r="AO327" s="56"/>
      <c r="AS327" s="56"/>
      <c r="AU327" s="129"/>
      <c r="AV327" s="133"/>
      <c r="AW327" s="79"/>
    </row>
    <row r="328" spans="1:49" ht="15" thickBot="1" x14ac:dyDescent="0.35">
      <c r="C328" s="85" t="s">
        <v>339</v>
      </c>
      <c r="E328" s="131"/>
      <c r="F328" s="131"/>
      <c r="G328" s="132"/>
      <c r="H328" s="134"/>
      <c r="I328" t="s">
        <v>340</v>
      </c>
      <c r="J328" s="131"/>
      <c r="K328">
        <f>J328*H328</f>
        <v>0</v>
      </c>
      <c r="M328" s="135"/>
      <c r="N328" s="136"/>
      <c r="O328" s="131"/>
      <c r="P328">
        <f t="shared" si="131"/>
        <v>0</v>
      </c>
      <c r="S328" s="56">
        <f t="shared" si="132"/>
        <v>0</v>
      </c>
      <c r="T328">
        <f t="shared" si="132"/>
        <v>0</v>
      </c>
      <c r="U328" s="129">
        <f t="shared" ref="U328:U330" si="134">G328*T328</f>
        <v>0</v>
      </c>
      <c r="V328" s="133">
        <f t="shared" si="133"/>
        <v>0</v>
      </c>
      <c r="W328" s="79">
        <f>V328+T328+P328+K328</f>
        <v>0</v>
      </c>
      <c r="X328" s="137" t="s">
        <v>341</v>
      </c>
    </row>
    <row r="329" spans="1:49" ht="15" thickBot="1" x14ac:dyDescent="0.35">
      <c r="C329" s="85" t="s">
        <v>342</v>
      </c>
      <c r="E329" s="131"/>
      <c r="F329" s="131"/>
      <c r="G329" s="132"/>
      <c r="H329" s="134"/>
      <c r="I329" t="s">
        <v>340</v>
      </c>
      <c r="J329" s="131"/>
      <c r="K329">
        <f>J329*H329</f>
        <v>0</v>
      </c>
      <c r="M329" s="135"/>
      <c r="N329" s="136"/>
      <c r="O329" s="131"/>
      <c r="P329">
        <f t="shared" si="131"/>
        <v>0</v>
      </c>
      <c r="S329" s="56">
        <f t="shared" si="132"/>
        <v>0</v>
      </c>
      <c r="T329">
        <f t="shared" si="132"/>
        <v>0</v>
      </c>
      <c r="U329" s="129">
        <f t="shared" si="134"/>
        <v>0</v>
      </c>
      <c r="V329" s="133">
        <f t="shared" si="133"/>
        <v>0</v>
      </c>
      <c r="W329" s="79">
        <f>V329+T329+P329+K329</f>
        <v>0</v>
      </c>
      <c r="X329" s="137" t="s">
        <v>343</v>
      </c>
    </row>
    <row r="330" spans="1:49" ht="15" thickBot="1" x14ac:dyDescent="0.35">
      <c r="C330" s="85" t="s">
        <v>344</v>
      </c>
      <c r="H330" s="131"/>
      <c r="I330" t="s">
        <v>340</v>
      </c>
      <c r="J330" s="131"/>
      <c r="K330">
        <f>J330*H330</f>
        <v>0</v>
      </c>
      <c r="O330" s="131"/>
      <c r="P330">
        <f t="shared" si="131"/>
        <v>0</v>
      </c>
      <c r="S330" s="56">
        <f t="shared" si="132"/>
        <v>0</v>
      </c>
      <c r="T330">
        <f t="shared" si="132"/>
        <v>0</v>
      </c>
      <c r="U330" s="129">
        <f t="shared" si="134"/>
        <v>0</v>
      </c>
      <c r="V330" s="133">
        <f t="shared" si="133"/>
        <v>0</v>
      </c>
      <c r="W330" s="79">
        <f t="shared" ref="W330:W344" si="135">V330+T330+P330+K330</f>
        <v>0</v>
      </c>
      <c r="AC330" s="85"/>
      <c r="AO330" s="56"/>
      <c r="AS330" s="56"/>
      <c r="AU330" s="129"/>
      <c r="AV330" s="133"/>
      <c r="AW330" s="79"/>
    </row>
    <row r="331" spans="1:49" ht="15" thickBot="1" x14ac:dyDescent="0.35">
      <c r="C331" s="85" t="s">
        <v>345</v>
      </c>
      <c r="H331" s="131"/>
      <c r="I331" t="s">
        <v>346</v>
      </c>
      <c r="K331">
        <f t="shared" si="130"/>
        <v>0</v>
      </c>
      <c r="P331">
        <f t="shared" si="131"/>
        <v>0</v>
      </c>
      <c r="S331" s="56">
        <f t="shared" si="132"/>
        <v>0</v>
      </c>
      <c r="T331">
        <f t="shared" si="132"/>
        <v>0</v>
      </c>
      <c r="U331" s="129">
        <v>0</v>
      </c>
      <c r="V331" s="133">
        <f t="shared" si="133"/>
        <v>0</v>
      </c>
      <c r="W331" s="79">
        <f t="shared" si="135"/>
        <v>0</v>
      </c>
      <c r="AC331" s="85"/>
      <c r="AO331" s="56"/>
      <c r="AS331" s="56"/>
      <c r="AU331" s="129"/>
      <c r="AV331" s="133"/>
      <c r="AW331" s="79"/>
    </row>
    <row r="332" spans="1:49" ht="15" thickBot="1" x14ac:dyDescent="0.35">
      <c r="C332" s="85" t="s">
        <v>347</v>
      </c>
      <c r="H332" s="131"/>
      <c r="I332" t="s">
        <v>346</v>
      </c>
      <c r="K332">
        <f t="shared" si="130"/>
        <v>0</v>
      </c>
      <c r="P332">
        <f t="shared" si="131"/>
        <v>0</v>
      </c>
      <c r="S332" s="56">
        <f t="shared" si="132"/>
        <v>0</v>
      </c>
      <c r="T332">
        <f t="shared" si="132"/>
        <v>0</v>
      </c>
      <c r="U332" s="129">
        <v>0</v>
      </c>
      <c r="V332" s="133">
        <f t="shared" si="133"/>
        <v>0</v>
      </c>
      <c r="W332" s="79">
        <f t="shared" si="135"/>
        <v>0</v>
      </c>
      <c r="AC332" s="85"/>
      <c r="AO332" s="56"/>
      <c r="AS332" s="56"/>
      <c r="AU332" s="129"/>
      <c r="AV332" s="133"/>
      <c r="AW332" s="79"/>
    </row>
    <row r="333" spans="1:49" ht="15" thickBot="1" x14ac:dyDescent="0.35">
      <c r="C333" s="85" t="s">
        <v>348</v>
      </c>
      <c r="H333" s="131"/>
      <c r="I333" t="s">
        <v>346</v>
      </c>
      <c r="K333">
        <f t="shared" si="130"/>
        <v>0</v>
      </c>
      <c r="P333">
        <f t="shared" si="131"/>
        <v>0</v>
      </c>
      <c r="S333" s="56">
        <f t="shared" si="132"/>
        <v>0</v>
      </c>
      <c r="T333">
        <f t="shared" si="132"/>
        <v>0</v>
      </c>
      <c r="U333" s="129">
        <v>0</v>
      </c>
      <c r="V333" s="133">
        <f t="shared" si="133"/>
        <v>0</v>
      </c>
      <c r="W333" s="79">
        <f t="shared" si="135"/>
        <v>0</v>
      </c>
      <c r="AC333" s="85"/>
      <c r="AO333" s="56"/>
      <c r="AS333" s="56"/>
      <c r="AU333" s="129"/>
      <c r="AV333" s="133"/>
      <c r="AW333" s="79"/>
    </row>
    <row r="334" spans="1:49" ht="15" thickBot="1" x14ac:dyDescent="0.35">
      <c r="C334" s="85" t="s">
        <v>349</v>
      </c>
      <c r="H334" s="131"/>
      <c r="I334" t="s">
        <v>346</v>
      </c>
      <c r="K334">
        <f t="shared" si="130"/>
        <v>0</v>
      </c>
      <c r="P334">
        <f t="shared" si="131"/>
        <v>0</v>
      </c>
      <c r="S334" s="56">
        <f t="shared" si="132"/>
        <v>0</v>
      </c>
      <c r="T334">
        <f t="shared" si="132"/>
        <v>0</v>
      </c>
      <c r="U334" s="129">
        <v>60</v>
      </c>
      <c r="V334" s="133">
        <f t="shared" si="133"/>
        <v>0</v>
      </c>
      <c r="W334" s="79">
        <f t="shared" si="135"/>
        <v>0</v>
      </c>
      <c r="AC334" s="85"/>
      <c r="AO334" s="56"/>
      <c r="AS334" s="56"/>
      <c r="AU334" s="129"/>
      <c r="AV334" s="133"/>
      <c r="AW334" s="79"/>
    </row>
    <row r="335" spans="1:49" ht="15" thickBot="1" x14ac:dyDescent="0.35">
      <c r="C335" s="85" t="s">
        <v>350</v>
      </c>
      <c r="H335" s="131"/>
      <c r="I335" t="s">
        <v>256</v>
      </c>
      <c r="K335">
        <f t="shared" si="130"/>
        <v>0</v>
      </c>
      <c r="P335">
        <f t="shared" si="131"/>
        <v>0</v>
      </c>
      <c r="S335" s="56">
        <f t="shared" si="132"/>
        <v>0</v>
      </c>
      <c r="T335">
        <f t="shared" si="132"/>
        <v>0</v>
      </c>
      <c r="U335" s="129">
        <v>750</v>
      </c>
      <c r="V335" s="133">
        <f t="shared" si="133"/>
        <v>0</v>
      </c>
      <c r="W335" s="79">
        <f t="shared" si="135"/>
        <v>0</v>
      </c>
      <c r="AC335" s="85"/>
      <c r="AO335" s="56"/>
      <c r="AS335" s="56"/>
      <c r="AU335" s="129"/>
      <c r="AV335" s="133"/>
      <c r="AW335" s="79"/>
    </row>
    <row r="336" spans="1:49" ht="15" thickBot="1" x14ac:dyDescent="0.35">
      <c r="C336" s="85" t="s">
        <v>351</v>
      </c>
      <c r="H336" s="132"/>
      <c r="I336" t="s">
        <v>346</v>
      </c>
      <c r="K336">
        <f t="shared" si="130"/>
        <v>0</v>
      </c>
      <c r="P336">
        <f t="shared" si="131"/>
        <v>0</v>
      </c>
      <c r="S336" s="56">
        <f t="shared" si="132"/>
        <v>0</v>
      </c>
      <c r="T336">
        <f t="shared" si="132"/>
        <v>0</v>
      </c>
      <c r="U336" s="129">
        <v>150</v>
      </c>
      <c r="V336" s="133">
        <f t="shared" si="133"/>
        <v>0</v>
      </c>
      <c r="W336" s="79">
        <f t="shared" si="135"/>
        <v>0</v>
      </c>
      <c r="AC336" s="85"/>
      <c r="AO336" s="56"/>
      <c r="AS336" s="56"/>
      <c r="AU336" s="129"/>
      <c r="AV336" s="133"/>
      <c r="AW336" s="79"/>
    </row>
    <row r="337" spans="3:49" ht="15" thickBot="1" x14ac:dyDescent="0.35">
      <c r="C337" s="85" t="s">
        <v>352</v>
      </c>
      <c r="H337" s="132"/>
      <c r="I337" t="s">
        <v>346</v>
      </c>
      <c r="K337">
        <f t="shared" si="130"/>
        <v>0</v>
      </c>
      <c r="P337">
        <f t="shared" si="131"/>
        <v>0</v>
      </c>
      <c r="S337" s="56">
        <f t="shared" si="132"/>
        <v>0</v>
      </c>
      <c r="T337">
        <f t="shared" si="132"/>
        <v>0</v>
      </c>
      <c r="U337" s="129">
        <v>1600</v>
      </c>
      <c r="V337" s="133">
        <f t="shared" si="133"/>
        <v>0</v>
      </c>
      <c r="W337" s="79">
        <f t="shared" si="135"/>
        <v>0</v>
      </c>
      <c r="AC337" s="85"/>
      <c r="AO337" s="56"/>
      <c r="AS337" s="56"/>
      <c r="AU337" s="129"/>
      <c r="AV337" s="133"/>
      <c r="AW337" s="79"/>
    </row>
    <row r="338" spans="3:49" ht="15" thickBot="1" x14ac:dyDescent="0.35">
      <c r="C338" s="85" t="s">
        <v>353</v>
      </c>
      <c r="H338" s="131"/>
      <c r="I338" s="138" t="s">
        <v>346</v>
      </c>
      <c r="K338">
        <f t="shared" si="130"/>
        <v>0</v>
      </c>
      <c r="P338">
        <f t="shared" si="131"/>
        <v>0</v>
      </c>
      <c r="S338" s="56">
        <f t="shared" si="132"/>
        <v>0</v>
      </c>
      <c r="T338">
        <f t="shared" si="132"/>
        <v>0</v>
      </c>
      <c r="U338" s="129">
        <v>400</v>
      </c>
      <c r="V338" s="133">
        <f t="shared" si="133"/>
        <v>0</v>
      </c>
      <c r="W338" s="79">
        <f t="shared" si="135"/>
        <v>0</v>
      </c>
      <c r="AC338" s="85"/>
      <c r="AI338" s="34"/>
      <c r="AO338" s="56"/>
      <c r="AS338" s="56"/>
      <c r="AU338" s="129"/>
      <c r="AV338" s="133"/>
      <c r="AW338" s="79"/>
    </row>
    <row r="339" spans="3:49" ht="15" thickBot="1" x14ac:dyDescent="0.35">
      <c r="C339" s="85" t="s">
        <v>354</v>
      </c>
      <c r="H339" s="131"/>
      <c r="I339" s="138" t="s">
        <v>346</v>
      </c>
      <c r="K339">
        <f t="shared" si="130"/>
        <v>0</v>
      </c>
      <c r="P339">
        <f t="shared" si="131"/>
        <v>0</v>
      </c>
      <c r="S339" s="56">
        <f t="shared" si="132"/>
        <v>0</v>
      </c>
      <c r="T339">
        <f t="shared" si="132"/>
        <v>0</v>
      </c>
      <c r="U339" s="129">
        <v>200</v>
      </c>
      <c r="V339" s="133">
        <f t="shared" si="133"/>
        <v>0</v>
      </c>
      <c r="W339" s="79">
        <f t="shared" si="135"/>
        <v>0</v>
      </c>
      <c r="AC339" s="85"/>
      <c r="AI339" s="34"/>
      <c r="AO339" s="56"/>
      <c r="AS339" s="56"/>
      <c r="AU339" s="129"/>
      <c r="AV339" s="133"/>
      <c r="AW339" s="79"/>
    </row>
    <row r="340" spans="3:49" ht="15" thickBot="1" x14ac:dyDescent="0.35">
      <c r="C340" s="85" t="s">
        <v>355</v>
      </c>
      <c r="H340" s="131"/>
      <c r="I340" s="138" t="s">
        <v>346</v>
      </c>
      <c r="K340">
        <f t="shared" si="130"/>
        <v>0</v>
      </c>
      <c r="P340">
        <f t="shared" si="131"/>
        <v>0</v>
      </c>
      <c r="S340" s="56">
        <f t="shared" si="132"/>
        <v>0</v>
      </c>
      <c r="T340">
        <f t="shared" si="132"/>
        <v>0</v>
      </c>
      <c r="U340" s="139">
        <v>20</v>
      </c>
      <c r="V340" s="133">
        <f t="shared" si="133"/>
        <v>0</v>
      </c>
      <c r="W340" s="79">
        <f t="shared" si="135"/>
        <v>0</v>
      </c>
      <c r="AC340" s="85"/>
      <c r="AI340" s="34"/>
      <c r="AO340" s="56"/>
      <c r="AS340" s="56"/>
      <c r="AU340" s="129"/>
      <c r="AV340" s="133"/>
      <c r="AW340" s="79"/>
    </row>
    <row r="341" spans="3:49" ht="15" thickBot="1" x14ac:dyDescent="0.35">
      <c r="C341" s="85" t="s">
        <v>356</v>
      </c>
      <c r="H341" s="131"/>
      <c r="I341" t="s">
        <v>346</v>
      </c>
      <c r="K341">
        <f>J341*H341</f>
        <v>0</v>
      </c>
      <c r="P341">
        <f>O341*N341</f>
        <v>0</v>
      </c>
      <c r="S341" s="56">
        <f>R341*P341</f>
        <v>0</v>
      </c>
      <c r="T341">
        <f>S341*Q341</f>
        <v>0</v>
      </c>
      <c r="U341" s="129">
        <v>20</v>
      </c>
      <c r="V341" s="133">
        <f>H341*U341</f>
        <v>0</v>
      </c>
      <c r="W341" s="79">
        <f>V341+T341+P341+K341</f>
        <v>0</v>
      </c>
      <c r="AC341" s="85"/>
      <c r="AO341" s="56"/>
      <c r="AS341" s="56"/>
      <c r="AU341" s="129"/>
      <c r="AV341" s="133"/>
      <c r="AW341" s="79"/>
    </row>
    <row r="342" spans="3:49" ht="15" thickBot="1" x14ac:dyDescent="0.35">
      <c r="C342" s="85" t="s">
        <v>357</v>
      </c>
      <c r="H342" s="131"/>
      <c r="I342" t="s">
        <v>346</v>
      </c>
      <c r="K342">
        <f>J342*H342</f>
        <v>0</v>
      </c>
      <c r="P342">
        <f>O342*N342</f>
        <v>0</v>
      </c>
      <c r="S342" s="56">
        <f>R342*P342</f>
        <v>0</v>
      </c>
      <c r="T342">
        <f>S342*Q342</f>
        <v>0</v>
      </c>
      <c r="U342" s="129">
        <v>10</v>
      </c>
      <c r="V342" s="133">
        <f>H342*U342</f>
        <v>0</v>
      </c>
      <c r="W342" s="79">
        <f>V342+T342+P342+K342</f>
        <v>0</v>
      </c>
      <c r="AC342" s="85"/>
      <c r="AO342" s="56"/>
      <c r="AS342" s="56"/>
      <c r="AU342" s="129"/>
      <c r="AV342" s="133"/>
      <c r="AW342" s="79"/>
    </row>
    <row r="343" spans="3:49" ht="15" thickBot="1" x14ac:dyDescent="0.35">
      <c r="C343" s="85" t="s">
        <v>358</v>
      </c>
      <c r="H343" s="140">
        <f>SUM(V341:V342)</f>
        <v>0</v>
      </c>
      <c r="I343" s="138"/>
      <c r="K343">
        <f t="shared" si="130"/>
        <v>0</v>
      </c>
      <c r="P343">
        <f t="shared" si="131"/>
        <v>0</v>
      </c>
      <c r="S343" s="56">
        <f t="shared" si="132"/>
        <v>0</v>
      </c>
      <c r="T343">
        <f t="shared" si="132"/>
        <v>0</v>
      </c>
      <c r="U343" s="141">
        <v>7.0000000000000007E-2</v>
      </c>
      <c r="V343" s="133">
        <f t="shared" si="133"/>
        <v>0</v>
      </c>
      <c r="W343" s="79">
        <f t="shared" si="135"/>
        <v>0</v>
      </c>
    </row>
    <row r="344" spans="3:49" x14ac:dyDescent="0.3">
      <c r="C344" s="85"/>
      <c r="H344" s="131"/>
      <c r="I344" s="138"/>
      <c r="K344">
        <f t="shared" si="130"/>
        <v>0</v>
      </c>
      <c r="P344">
        <f t="shared" si="131"/>
        <v>0</v>
      </c>
      <c r="S344" s="56">
        <f t="shared" si="132"/>
        <v>0</v>
      </c>
      <c r="T344">
        <f t="shared" si="132"/>
        <v>0</v>
      </c>
      <c r="U344" s="129">
        <f t="shared" ref="U344" si="136">G344*T344</f>
        <v>0</v>
      </c>
      <c r="V344" s="133">
        <f t="shared" si="133"/>
        <v>0</v>
      </c>
      <c r="W344" s="79">
        <f t="shared" si="135"/>
        <v>0</v>
      </c>
      <c r="AC344" s="85"/>
      <c r="AI344" s="34"/>
      <c r="AO344" s="56"/>
      <c r="AS344" s="56"/>
      <c r="AU344" s="129"/>
      <c r="AV344" s="133"/>
      <c r="AW344" s="79"/>
    </row>
    <row r="345" spans="3:49" x14ac:dyDescent="0.3">
      <c r="C345" s="85" t="s">
        <v>359</v>
      </c>
      <c r="H345" s="131"/>
      <c r="I345" s="138"/>
      <c r="W345" s="84">
        <f>SUM(W327:W344)</f>
        <v>0</v>
      </c>
      <c r="AC345" s="85"/>
      <c r="AI345" s="34"/>
      <c r="AO345" s="56"/>
      <c r="AS345" s="56"/>
      <c r="AU345" s="129"/>
      <c r="AW345" s="84"/>
    </row>
    <row r="346" spans="3:49" x14ac:dyDescent="0.3">
      <c r="C346" s="85" t="s">
        <v>360</v>
      </c>
      <c r="H346" s="131">
        <v>18</v>
      </c>
      <c r="I346" s="138" t="s">
        <v>346</v>
      </c>
      <c r="W346" s="5">
        <f>W345/H346</f>
        <v>0</v>
      </c>
      <c r="AC346" s="85"/>
      <c r="AI346" s="34"/>
      <c r="AO346" s="56"/>
      <c r="AS346" s="56"/>
      <c r="AU346" s="129"/>
      <c r="AW346" s="5"/>
    </row>
    <row r="350" spans="3:49" x14ac:dyDescent="0.3">
      <c r="U350" s="129" t="s">
        <v>361</v>
      </c>
      <c r="V350" t="s">
        <v>362</v>
      </c>
    </row>
    <row r="351" spans="3:49" x14ac:dyDescent="0.3">
      <c r="P351" t="s">
        <v>363</v>
      </c>
      <c r="T351" s="84">
        <f>Y107</f>
        <v>0</v>
      </c>
      <c r="U351" s="142" t="e">
        <f>T351/T$257</f>
        <v>#DIV/0!</v>
      </c>
      <c r="V351" s="84" t="e">
        <f t="shared" ref="V351:V369" si="137">T351+(U351*($W$223-$W$211))</f>
        <v>#DIV/0!</v>
      </c>
    </row>
    <row r="352" spans="3:49" x14ac:dyDescent="0.3">
      <c r="P352" t="s">
        <v>364</v>
      </c>
      <c r="T352" s="84">
        <f>Y117</f>
        <v>0</v>
      </c>
      <c r="U352" s="142" t="e">
        <f t="shared" ref="U352:U369" si="138">T352/T$257</f>
        <v>#DIV/0!</v>
      </c>
      <c r="V352" s="84" t="e">
        <f t="shared" si="137"/>
        <v>#DIV/0!</v>
      </c>
    </row>
    <row r="353" spans="16:22" x14ac:dyDescent="0.3">
      <c r="P353" t="s">
        <v>365</v>
      </c>
      <c r="T353" s="84">
        <f>Y142</f>
        <v>0</v>
      </c>
      <c r="U353" s="142" t="e">
        <f t="shared" si="138"/>
        <v>#DIV/0!</v>
      </c>
      <c r="V353" s="84" t="e">
        <f t="shared" si="137"/>
        <v>#DIV/0!</v>
      </c>
    </row>
    <row r="354" spans="16:22" x14ac:dyDescent="0.3">
      <c r="P354" t="s">
        <v>366</v>
      </c>
      <c r="T354" s="84">
        <f>Y158</f>
        <v>0</v>
      </c>
      <c r="U354" s="142" t="e">
        <f t="shared" si="138"/>
        <v>#DIV/0!</v>
      </c>
      <c r="V354" s="84" t="e">
        <f t="shared" si="137"/>
        <v>#DIV/0!</v>
      </c>
    </row>
    <row r="355" spans="16:22" x14ac:dyDescent="0.3">
      <c r="P355" t="s">
        <v>367</v>
      </c>
      <c r="T355" s="84">
        <f>Y166</f>
        <v>0</v>
      </c>
      <c r="U355" s="142" t="e">
        <f t="shared" si="138"/>
        <v>#DIV/0!</v>
      </c>
      <c r="V355" s="84" t="e">
        <f t="shared" si="137"/>
        <v>#DIV/0!</v>
      </c>
    </row>
    <row r="356" spans="16:22" x14ac:dyDescent="0.3">
      <c r="P356" t="s">
        <v>368</v>
      </c>
      <c r="T356" s="84">
        <f>Y173</f>
        <v>0</v>
      </c>
      <c r="U356" s="142" t="e">
        <f t="shared" si="138"/>
        <v>#DIV/0!</v>
      </c>
      <c r="V356" s="84" t="e">
        <f t="shared" si="137"/>
        <v>#DIV/0!</v>
      </c>
    </row>
    <row r="357" spans="16:22" x14ac:dyDescent="0.3">
      <c r="P357" t="s">
        <v>369</v>
      </c>
      <c r="T357" s="84">
        <f>Y180</f>
        <v>0</v>
      </c>
      <c r="U357" s="142" t="e">
        <f t="shared" si="138"/>
        <v>#DIV/0!</v>
      </c>
      <c r="V357" s="84" t="e">
        <f t="shared" si="137"/>
        <v>#DIV/0!</v>
      </c>
    </row>
    <row r="358" spans="16:22" x14ac:dyDescent="0.3">
      <c r="P358" t="s">
        <v>370</v>
      </c>
      <c r="T358" s="84">
        <f>Y188</f>
        <v>0</v>
      </c>
      <c r="U358" s="142" t="e">
        <f t="shared" si="138"/>
        <v>#DIV/0!</v>
      </c>
      <c r="V358" s="84" t="e">
        <f t="shared" si="137"/>
        <v>#DIV/0!</v>
      </c>
    </row>
    <row r="359" spans="16:22" x14ac:dyDescent="0.3">
      <c r="P359" t="s">
        <v>371</v>
      </c>
      <c r="T359" s="84">
        <f>Y196</f>
        <v>0</v>
      </c>
      <c r="U359" s="142" t="e">
        <f t="shared" si="138"/>
        <v>#DIV/0!</v>
      </c>
      <c r="V359" s="84" t="e">
        <f t="shared" si="137"/>
        <v>#DIV/0!</v>
      </c>
    </row>
    <row r="360" spans="16:22" x14ac:dyDescent="0.3">
      <c r="P360" t="s">
        <v>20</v>
      </c>
      <c r="T360" s="84">
        <f>Y203</f>
        <v>0</v>
      </c>
      <c r="U360" s="142" t="e">
        <f t="shared" si="138"/>
        <v>#DIV/0!</v>
      </c>
      <c r="V360" s="84" t="e">
        <f t="shared" si="137"/>
        <v>#DIV/0!</v>
      </c>
    </row>
    <row r="361" spans="16:22" x14ac:dyDescent="0.3">
      <c r="P361" t="s">
        <v>372</v>
      </c>
      <c r="T361" s="84">
        <f>Y223</f>
        <v>0</v>
      </c>
      <c r="U361" s="142" t="e">
        <f t="shared" si="138"/>
        <v>#DIV/0!</v>
      </c>
      <c r="V361" s="84" t="e">
        <f t="shared" si="137"/>
        <v>#DIV/0!</v>
      </c>
    </row>
    <row r="362" spans="16:22" x14ac:dyDescent="0.3">
      <c r="P362" t="s">
        <v>373</v>
      </c>
      <c r="T362" s="84">
        <f>Y230</f>
        <v>0</v>
      </c>
      <c r="U362" s="142" t="e">
        <f t="shared" si="138"/>
        <v>#DIV/0!</v>
      </c>
      <c r="V362" s="84" t="e">
        <f t="shared" si="137"/>
        <v>#DIV/0!</v>
      </c>
    </row>
    <row r="363" spans="16:22" x14ac:dyDescent="0.3">
      <c r="P363" t="s">
        <v>374</v>
      </c>
      <c r="T363" s="84">
        <f>Y248</f>
        <v>0</v>
      </c>
      <c r="U363" s="142" t="e">
        <f t="shared" si="138"/>
        <v>#DIV/0!</v>
      </c>
      <c r="V363" s="84" t="e">
        <f t="shared" si="137"/>
        <v>#DIV/0!</v>
      </c>
    </row>
    <row r="364" spans="16:22" x14ac:dyDescent="0.3">
      <c r="P364" t="s">
        <v>375</v>
      </c>
      <c r="T364" s="84">
        <f>Y257</f>
        <v>0</v>
      </c>
      <c r="U364" s="142" t="e">
        <f t="shared" si="138"/>
        <v>#DIV/0!</v>
      </c>
      <c r="V364" s="84" t="e">
        <f t="shared" si="137"/>
        <v>#DIV/0!</v>
      </c>
    </row>
    <row r="365" spans="16:22" x14ac:dyDescent="0.3">
      <c r="P365" t="s">
        <v>376</v>
      </c>
      <c r="T365" s="84">
        <f>Y271</f>
        <v>0</v>
      </c>
      <c r="U365" s="142" t="e">
        <f t="shared" si="138"/>
        <v>#DIV/0!</v>
      </c>
      <c r="V365" s="84" t="e">
        <f t="shared" si="137"/>
        <v>#DIV/0!</v>
      </c>
    </row>
    <row r="366" spans="16:22" x14ac:dyDescent="0.3">
      <c r="P366" t="s">
        <v>377</v>
      </c>
      <c r="T366" s="84">
        <f>Y282</f>
        <v>0</v>
      </c>
      <c r="U366" s="142" t="e">
        <f t="shared" si="138"/>
        <v>#DIV/0!</v>
      </c>
      <c r="V366" s="84" t="e">
        <f t="shared" si="137"/>
        <v>#DIV/0!</v>
      </c>
    </row>
    <row r="367" spans="16:22" x14ac:dyDescent="0.3">
      <c r="P367" t="s">
        <v>378</v>
      </c>
      <c r="T367" s="84">
        <f>Y288</f>
        <v>0</v>
      </c>
      <c r="U367" s="142" t="e">
        <f t="shared" si="138"/>
        <v>#DIV/0!</v>
      </c>
      <c r="V367" s="84" t="e">
        <f t="shared" si="137"/>
        <v>#DIV/0!</v>
      </c>
    </row>
    <row r="368" spans="16:22" x14ac:dyDescent="0.3">
      <c r="P368" t="s">
        <v>379</v>
      </c>
      <c r="T368" s="84">
        <f>Y293</f>
        <v>0</v>
      </c>
      <c r="U368" s="142" t="e">
        <f t="shared" si="138"/>
        <v>#DIV/0!</v>
      </c>
      <c r="V368" s="84" t="e">
        <f t="shared" si="137"/>
        <v>#DIV/0!</v>
      </c>
    </row>
    <row r="369" spans="16:22" x14ac:dyDescent="0.3">
      <c r="P369" t="s">
        <v>53</v>
      </c>
      <c r="T369" s="84">
        <f>Y326</f>
        <v>0</v>
      </c>
      <c r="U369" s="142" t="e">
        <f t="shared" si="138"/>
        <v>#DIV/0!</v>
      </c>
      <c r="V369" s="84" t="e">
        <f t="shared" si="137"/>
        <v>#DIV/0!</v>
      </c>
    </row>
    <row r="371" spans="16:22" x14ac:dyDescent="0.3">
      <c r="P371" t="s">
        <v>44</v>
      </c>
      <c r="T371" s="84">
        <f>SUM(T351:T370)</f>
        <v>0</v>
      </c>
      <c r="U371" s="142" t="e">
        <f>SUM(U351:U370)</f>
        <v>#DIV/0!</v>
      </c>
      <c r="V371" s="84" t="e">
        <f>SUM(V351:V369)</f>
        <v>#DIV/0!</v>
      </c>
    </row>
  </sheetData>
  <mergeCells count="25">
    <mergeCell ref="D6:F6"/>
    <mergeCell ref="J6:K6"/>
    <mergeCell ref="M6:P6"/>
    <mergeCell ref="Q6:T6"/>
    <mergeCell ref="U6:V6"/>
    <mergeCell ref="B230:C230"/>
    <mergeCell ref="B237:C237"/>
    <mergeCell ref="B260:C260"/>
    <mergeCell ref="B244:C244"/>
    <mergeCell ref="B277:C277"/>
    <mergeCell ref="B205:C205"/>
    <mergeCell ref="B190:C190"/>
    <mergeCell ref="B171:C171"/>
    <mergeCell ref="B166:C166"/>
    <mergeCell ref="B156:C156"/>
    <mergeCell ref="B147:C147"/>
    <mergeCell ref="B137:C137"/>
    <mergeCell ref="B113:C113"/>
    <mergeCell ref="B98:C98"/>
    <mergeCell ref="B87:C87"/>
    <mergeCell ref="B71:C71"/>
    <mergeCell ref="B60:C60"/>
    <mergeCell ref="B53:C53"/>
    <mergeCell ref="B41:C41"/>
    <mergeCell ref="B25:C25"/>
  </mergeCells>
  <phoneticPr fontId="31" type="noConversion"/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22">
        <x14:dataValidation type="list" allowBlank="1" showInputMessage="1" showErrorMessage="1" xr:uid="{00000000-0002-0000-0200-000000000000}">
          <x14:formula1>
            <xm:f>'Importer Data Fields'!$C$4:$C$358</xm:f>
          </x14:formula1>
          <xm:sqref>B9:B18</xm:sqref>
        </x14:dataValidation>
        <x14:dataValidation type="list" allowBlank="1" showInputMessage="1" showErrorMessage="1" xr:uid="{00000000-0002-0000-0200-000001000000}">
          <x14:formula1>
            <xm:f>'Importer Data Fields'!$C$76:$C$84</xm:f>
          </x14:formula1>
          <xm:sqref>B26:B40</xm:sqref>
        </x14:dataValidation>
        <x14:dataValidation type="list" allowBlank="1" showInputMessage="1" showErrorMessage="1" xr:uid="{00000000-0002-0000-0200-000002000000}">
          <x14:formula1>
            <xm:f>'Importer Data Fields'!$C$85:$C$95</xm:f>
          </x14:formula1>
          <xm:sqref>B42:B52</xm:sqref>
        </x14:dataValidation>
        <x14:dataValidation type="list" allowBlank="1" showInputMessage="1" showErrorMessage="1" xr:uid="{00000000-0002-0000-0200-000003000000}">
          <x14:formula1>
            <xm:f>'Importer Data Fields'!$C$96:$C$100</xm:f>
          </x14:formula1>
          <xm:sqref>B54:B59</xm:sqref>
        </x14:dataValidation>
        <x14:dataValidation type="list" allowBlank="1" showInputMessage="1" showErrorMessage="1" xr:uid="{00000000-0002-0000-0200-000004000000}">
          <x14:formula1>
            <xm:f>'Importer Data Fields'!$C$101:$C$111</xm:f>
          </x14:formula1>
          <xm:sqref>B61:B70</xm:sqref>
        </x14:dataValidation>
        <x14:dataValidation type="list" allowBlank="1" showInputMessage="1" showErrorMessage="1" xr:uid="{00000000-0002-0000-0200-000005000000}">
          <x14:formula1>
            <xm:f>'Importer Data Fields'!$C$112:$C$116</xm:f>
          </x14:formula1>
          <xm:sqref>B72:B86</xm:sqref>
        </x14:dataValidation>
        <x14:dataValidation type="list" allowBlank="1" showInputMessage="1" showErrorMessage="1" xr:uid="{00000000-0002-0000-0200-000006000000}">
          <x14:formula1>
            <xm:f>'Importer Data Fields'!$C$117:$C$134</xm:f>
          </x14:formula1>
          <xm:sqref>B88:B97</xm:sqref>
        </x14:dataValidation>
        <x14:dataValidation type="list" allowBlank="1" showInputMessage="1" showErrorMessage="1" xr:uid="{00000000-0002-0000-0200-000007000000}">
          <x14:formula1>
            <xm:f>'Importer Data Fields'!$C$135:$C$158</xm:f>
          </x14:formula1>
          <xm:sqref>B99:B112</xm:sqref>
        </x14:dataValidation>
        <x14:dataValidation type="list" allowBlank="1" showInputMessage="1" showErrorMessage="1" xr:uid="{00000000-0002-0000-0200-000008000000}">
          <x14:formula1>
            <xm:f>'Importer Data Fields'!$C$159:$C$182</xm:f>
          </x14:formula1>
          <xm:sqref>B114:B136</xm:sqref>
        </x14:dataValidation>
        <x14:dataValidation type="list" allowBlank="1" showInputMessage="1" showErrorMessage="1" xr:uid="{00000000-0002-0000-0200-000009000000}">
          <x14:formula1>
            <xm:f>'Importer Data Fields'!$C$183:$C$202</xm:f>
          </x14:formula1>
          <xm:sqref>B138:B146</xm:sqref>
        </x14:dataValidation>
        <x14:dataValidation type="list" allowBlank="1" showInputMessage="1" showErrorMessage="1" xr:uid="{00000000-0002-0000-0200-00000A000000}">
          <x14:formula1>
            <xm:f>'Importer Data Fields'!$C$203:$C$210</xm:f>
          </x14:formula1>
          <xm:sqref>B148:B155</xm:sqref>
        </x14:dataValidation>
        <x14:dataValidation type="list" allowBlank="1" showInputMessage="1" showErrorMessage="1" xr:uid="{00000000-0002-0000-0200-00000B000000}">
          <x14:formula1>
            <xm:f>'Importer Data Fields'!$C$211:$C$214</xm:f>
          </x14:formula1>
          <xm:sqref>B157:B165</xm:sqref>
        </x14:dataValidation>
        <x14:dataValidation type="list" allowBlank="1" showInputMessage="1" showErrorMessage="1" xr:uid="{00000000-0002-0000-0200-00000C000000}">
          <x14:formula1>
            <xm:f>'Importer Data Fields'!$C$222:$C$230</xm:f>
          </x14:formula1>
          <xm:sqref>B167:B170</xm:sqref>
        </x14:dataValidation>
        <x14:dataValidation type="list" allowBlank="1" showInputMessage="1" showErrorMessage="1" xr:uid="{00000000-0002-0000-0200-00000D000000}">
          <x14:formula1>
            <xm:f>'Importer Data Fields'!$C$231:$C$242</xm:f>
          </x14:formula1>
          <xm:sqref>B172:B189</xm:sqref>
        </x14:dataValidation>
        <x14:dataValidation type="list" allowBlank="1" showInputMessage="1" showErrorMessage="1" xr:uid="{00000000-0002-0000-0200-00000E000000}">
          <x14:formula1>
            <xm:f>'Importer Data Fields'!$C$243:$C$250</xm:f>
          </x14:formula1>
          <xm:sqref>B191:B204</xm:sqref>
        </x14:dataValidation>
        <x14:dataValidation type="list" allowBlank="1" showInputMessage="1" showErrorMessage="1" xr:uid="{00000000-0002-0000-0200-00000F000000}">
          <x14:formula1>
            <xm:f>'Importer Data Fields'!$C$252:$C$260</xm:f>
          </x14:formula1>
          <xm:sqref>B206:B229</xm:sqref>
        </x14:dataValidation>
        <x14:dataValidation type="list" allowBlank="1" showInputMessage="1" showErrorMessage="1" xr:uid="{00000000-0002-0000-0200-000010000000}">
          <x14:formula1>
            <xm:f>'Importer Data Fields'!$C$261:$C$263</xm:f>
          </x14:formula1>
          <xm:sqref>B231:B236</xm:sqref>
        </x14:dataValidation>
        <x14:dataValidation type="list" allowBlank="1" showInputMessage="1" showErrorMessage="1" xr:uid="{00000000-0002-0000-0200-000011000000}">
          <x14:formula1>
            <xm:f>'Importer Data Fields'!$C$264:$C$266</xm:f>
          </x14:formula1>
          <xm:sqref>B238:B243</xm:sqref>
        </x14:dataValidation>
        <x14:dataValidation type="list" allowBlank="1" showInputMessage="1" showErrorMessage="1" xr:uid="{00000000-0002-0000-0200-000012000000}">
          <x14:formula1>
            <xm:f>'Importer Data Fields'!$C$267:$C$281</xm:f>
          </x14:formula1>
          <xm:sqref>B245:B259</xm:sqref>
        </x14:dataValidation>
        <x14:dataValidation type="list" allowBlank="1" showInputMessage="1" showErrorMessage="1" xr:uid="{00000000-0002-0000-0200-000013000000}">
          <x14:formula1>
            <xm:f>'Importer Data Fields'!$C$282:$C$301</xm:f>
          </x14:formula1>
          <xm:sqref>B261:B276</xm:sqref>
        </x14:dataValidation>
        <x14:dataValidation type="list" allowBlank="1" showInputMessage="1" showErrorMessage="1" xr:uid="{00000000-0002-0000-0200-000014000000}">
          <x14:formula1>
            <xm:f>'Importer Data Fields'!$C$282:$C$313</xm:f>
          </x14:formula1>
          <xm:sqref>B278:B311</xm:sqref>
        </x14:dataValidation>
        <x14:dataValidation type="list" allowBlank="1" showInputMessage="1" showErrorMessage="1" xr:uid="{00000000-0002-0000-0200-000015000000}">
          <x14:formula1>
            <xm:f>'Importer Data Fields'!$C$4:$C$75</xm:f>
          </x14:formula1>
          <xm:sqref>B20:B24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58"/>
  <sheetViews>
    <sheetView showOutlineSymbols="0" showWhiteSpace="0" topLeftCell="A279" workbookViewId="0">
      <selection activeCell="E17" sqref="E17"/>
    </sheetView>
  </sheetViews>
  <sheetFormatPr defaultColWidth="8.88671875" defaultRowHeight="13.8" x14ac:dyDescent="0.25"/>
  <cols>
    <col min="1" max="1" width="12" style="183" bestFit="1" customWidth="1"/>
    <col min="2" max="2" width="26.44140625" style="183" bestFit="1" customWidth="1"/>
    <col min="3" max="3" width="14.44140625" style="183" bestFit="1" customWidth="1"/>
    <col min="4" max="4" width="40.88671875" style="183" bestFit="1" customWidth="1"/>
    <col min="5" max="5" width="14.44140625" style="183" bestFit="1" customWidth="1"/>
    <col min="6" max="6" width="28.88671875" style="183" bestFit="1" customWidth="1"/>
    <col min="7" max="7" width="15.5546875" style="183" customWidth="1"/>
    <col min="8" max="9" width="12" style="183" bestFit="1" customWidth="1"/>
    <col min="10" max="16384" width="8.88671875" style="183"/>
  </cols>
  <sheetData>
    <row r="1" spans="1:9" x14ac:dyDescent="0.25">
      <c r="A1" s="183" t="s">
        <v>380</v>
      </c>
      <c r="B1" s="183" t="s">
        <v>381</v>
      </c>
      <c r="C1" s="183" t="s">
        <v>382</v>
      </c>
      <c r="D1" s="183" t="s">
        <v>383</v>
      </c>
      <c r="E1" s="183" t="s">
        <v>384</v>
      </c>
      <c r="F1" s="183" t="s">
        <v>385</v>
      </c>
      <c r="G1" s="183" t="s">
        <v>386</v>
      </c>
      <c r="H1" s="183" t="s">
        <v>387</v>
      </c>
      <c r="I1" s="183" t="s">
        <v>388</v>
      </c>
    </row>
    <row r="2" spans="1:9" x14ac:dyDescent="0.25">
      <c r="A2" s="183" t="s">
        <v>389</v>
      </c>
      <c r="B2" s="183" t="s">
        <v>389</v>
      </c>
      <c r="C2" s="183" t="s">
        <v>389</v>
      </c>
      <c r="D2" s="183" t="s">
        <v>389</v>
      </c>
      <c r="E2" s="183" t="s">
        <v>390</v>
      </c>
      <c r="F2" s="183" t="s">
        <v>391</v>
      </c>
      <c r="G2" s="183" t="s">
        <v>392</v>
      </c>
      <c r="H2" s="183" t="s">
        <v>256</v>
      </c>
      <c r="I2" s="183" t="s">
        <v>393</v>
      </c>
    </row>
    <row r="3" spans="1:9" x14ac:dyDescent="0.25">
      <c r="C3" s="183" t="s">
        <v>394</v>
      </c>
      <c r="D3" s="183" t="s">
        <v>395</v>
      </c>
      <c r="E3" s="183" t="s">
        <v>396</v>
      </c>
      <c r="F3" s="183" t="s">
        <v>219</v>
      </c>
      <c r="G3" s="183" t="s">
        <v>397</v>
      </c>
      <c r="H3" s="183" t="s">
        <v>398</v>
      </c>
      <c r="I3" s="183" t="s">
        <v>399</v>
      </c>
    </row>
    <row r="4" spans="1:9" x14ac:dyDescent="0.25">
      <c r="C4" s="183" t="s">
        <v>64</v>
      </c>
      <c r="D4" s="183" t="s">
        <v>65</v>
      </c>
      <c r="E4" s="183" t="s">
        <v>400</v>
      </c>
      <c r="F4" s="183" t="s">
        <v>218</v>
      </c>
      <c r="G4" s="183" t="s">
        <v>401</v>
      </c>
      <c r="H4" s="183" t="s">
        <v>108</v>
      </c>
    </row>
    <row r="5" spans="1:9" x14ac:dyDescent="0.25">
      <c r="C5" s="183" t="s">
        <v>66</v>
      </c>
      <c r="D5" s="183" t="s">
        <v>67</v>
      </c>
      <c r="E5" s="183" t="s">
        <v>389</v>
      </c>
      <c r="F5" s="183" t="s">
        <v>389</v>
      </c>
      <c r="G5" s="183" t="s">
        <v>402</v>
      </c>
      <c r="H5" s="183" t="s">
        <v>403</v>
      </c>
    </row>
    <row r="6" spans="1:9" x14ac:dyDescent="0.25">
      <c r="C6" s="183" t="s">
        <v>68</v>
      </c>
      <c r="D6" s="183" t="s">
        <v>69</v>
      </c>
      <c r="E6" s="183" t="s">
        <v>404</v>
      </c>
      <c r="F6" s="183" t="s">
        <v>405</v>
      </c>
      <c r="G6" s="183" t="s">
        <v>406</v>
      </c>
      <c r="H6" s="183" t="s">
        <v>407</v>
      </c>
    </row>
    <row r="7" spans="1:9" x14ac:dyDescent="0.25">
      <c r="C7" s="183" t="s">
        <v>70</v>
      </c>
      <c r="D7" s="183" t="s">
        <v>71</v>
      </c>
      <c r="E7" s="183" t="s">
        <v>408</v>
      </c>
      <c r="F7" s="183" t="s">
        <v>221</v>
      </c>
      <c r="G7" s="183" t="s">
        <v>256</v>
      </c>
      <c r="H7" s="183" t="s">
        <v>409</v>
      </c>
    </row>
    <row r="8" spans="1:9" x14ac:dyDescent="0.25">
      <c r="C8" s="183" t="s">
        <v>72</v>
      </c>
      <c r="D8" s="183" t="s">
        <v>73</v>
      </c>
      <c r="E8" s="183" t="s">
        <v>410</v>
      </c>
      <c r="F8" s="183" t="s">
        <v>411</v>
      </c>
      <c r="G8" s="183" t="s">
        <v>398</v>
      </c>
      <c r="H8" s="183" t="s">
        <v>252</v>
      </c>
    </row>
    <row r="9" spans="1:9" x14ac:dyDescent="0.25">
      <c r="C9" s="183" t="s">
        <v>74</v>
      </c>
      <c r="D9" s="183" t="s">
        <v>75</v>
      </c>
      <c r="G9" s="183" t="s">
        <v>108</v>
      </c>
      <c r="H9" s="183" t="s">
        <v>412</v>
      </c>
    </row>
    <row r="10" spans="1:9" x14ac:dyDescent="0.25">
      <c r="C10" s="183" t="s">
        <v>76</v>
      </c>
      <c r="D10" s="183" t="s">
        <v>77</v>
      </c>
      <c r="G10" s="183" t="s">
        <v>403</v>
      </c>
      <c r="H10" s="183" t="s">
        <v>257</v>
      </c>
    </row>
    <row r="11" spans="1:9" x14ac:dyDescent="0.25">
      <c r="C11" s="183" t="s">
        <v>78</v>
      </c>
      <c r="D11" s="183" t="s">
        <v>79</v>
      </c>
      <c r="G11" s="183" t="s">
        <v>407</v>
      </c>
      <c r="H11" s="183" t="s">
        <v>413</v>
      </c>
    </row>
    <row r="12" spans="1:9" x14ac:dyDescent="0.25">
      <c r="C12" s="183" t="s">
        <v>80</v>
      </c>
      <c r="D12" s="183" t="s">
        <v>81</v>
      </c>
      <c r="G12" s="183" t="s">
        <v>409</v>
      </c>
      <c r="H12" s="183" t="s">
        <v>414</v>
      </c>
    </row>
    <row r="13" spans="1:9" x14ac:dyDescent="0.25">
      <c r="C13" s="183" t="s">
        <v>82</v>
      </c>
      <c r="D13" s="183" t="s">
        <v>83</v>
      </c>
      <c r="G13" s="183" t="s">
        <v>252</v>
      </c>
      <c r="H13" s="183" t="s">
        <v>415</v>
      </c>
    </row>
    <row r="14" spans="1:9" x14ac:dyDescent="0.25">
      <c r="C14" s="183" t="s">
        <v>84</v>
      </c>
      <c r="D14" s="183" t="s">
        <v>85</v>
      </c>
      <c r="G14" s="183" t="s">
        <v>412</v>
      </c>
      <c r="H14" s="183" t="s">
        <v>416</v>
      </c>
    </row>
    <row r="15" spans="1:9" x14ac:dyDescent="0.25">
      <c r="C15" s="183" t="s">
        <v>86</v>
      </c>
      <c r="D15" s="183" t="s">
        <v>87</v>
      </c>
      <c r="G15" s="183" t="s">
        <v>257</v>
      </c>
      <c r="H15" s="183" t="s">
        <v>417</v>
      </c>
    </row>
    <row r="16" spans="1:9" x14ac:dyDescent="0.25">
      <c r="C16" s="183" t="s">
        <v>88</v>
      </c>
      <c r="D16" s="183" t="s">
        <v>89</v>
      </c>
      <c r="G16" s="183" t="s">
        <v>413</v>
      </c>
    </row>
    <row r="17" spans="3:7" x14ac:dyDescent="0.25">
      <c r="C17" s="183" t="s">
        <v>90</v>
      </c>
      <c r="D17" s="183" t="s">
        <v>91</v>
      </c>
      <c r="G17" s="183" t="s">
        <v>414</v>
      </c>
    </row>
    <row r="18" spans="3:7" x14ac:dyDescent="0.25">
      <c r="C18" s="183" t="s">
        <v>92</v>
      </c>
      <c r="D18" s="183" t="s">
        <v>93</v>
      </c>
      <c r="G18" s="183" t="s">
        <v>415</v>
      </c>
    </row>
    <row r="19" spans="3:7" x14ac:dyDescent="0.25">
      <c r="C19" s="183" t="s">
        <v>95</v>
      </c>
      <c r="D19" s="183" t="s">
        <v>96</v>
      </c>
      <c r="G19" s="183" t="s">
        <v>416</v>
      </c>
    </row>
    <row r="20" spans="3:7" x14ac:dyDescent="0.25">
      <c r="C20" s="183" t="s">
        <v>97</v>
      </c>
      <c r="D20" s="183" t="s">
        <v>98</v>
      </c>
      <c r="G20" s="183" t="s">
        <v>417</v>
      </c>
    </row>
    <row r="21" spans="3:7" x14ac:dyDescent="0.25">
      <c r="C21" s="183" t="s">
        <v>99</v>
      </c>
      <c r="D21" s="183" t="s">
        <v>100</v>
      </c>
    </row>
    <row r="22" spans="3:7" x14ac:dyDescent="0.25">
      <c r="C22" s="183" t="s">
        <v>101</v>
      </c>
      <c r="D22" s="183" t="s">
        <v>102</v>
      </c>
    </row>
    <row r="23" spans="3:7" x14ac:dyDescent="0.25">
      <c r="C23" s="183" t="s">
        <v>103</v>
      </c>
      <c r="D23" s="183" t="s">
        <v>104</v>
      </c>
    </row>
    <row r="24" spans="3:7" x14ac:dyDescent="0.25">
      <c r="C24" s="183" t="s">
        <v>106</v>
      </c>
      <c r="D24" s="183" t="s">
        <v>107</v>
      </c>
    </row>
    <row r="25" spans="3:7" x14ac:dyDescent="0.25">
      <c r="C25" s="183" t="s">
        <v>109</v>
      </c>
      <c r="D25" s="183" t="s">
        <v>110</v>
      </c>
    </row>
    <row r="26" spans="3:7" x14ac:dyDescent="0.25">
      <c r="C26" s="183" t="s">
        <v>112</v>
      </c>
      <c r="D26" s="183" t="s">
        <v>113</v>
      </c>
    </row>
    <row r="27" spans="3:7" x14ac:dyDescent="0.25">
      <c r="C27" s="183" t="s">
        <v>114</v>
      </c>
      <c r="D27" s="183" t="s">
        <v>115</v>
      </c>
    </row>
    <row r="28" spans="3:7" x14ac:dyDescent="0.25">
      <c r="C28" s="183" t="s">
        <v>116</v>
      </c>
      <c r="D28" s="183" t="s">
        <v>117</v>
      </c>
    </row>
    <row r="29" spans="3:7" x14ac:dyDescent="0.25">
      <c r="C29" s="183" t="s">
        <v>118</v>
      </c>
      <c r="D29" s="183" t="s">
        <v>119</v>
      </c>
    </row>
    <row r="30" spans="3:7" x14ac:dyDescent="0.25">
      <c r="C30" s="183" t="s">
        <v>120</v>
      </c>
      <c r="D30" s="183" t="s">
        <v>121</v>
      </c>
    </row>
    <row r="31" spans="3:7" x14ac:dyDescent="0.25">
      <c r="C31" s="183" t="s">
        <v>122</v>
      </c>
      <c r="D31" s="183" t="s">
        <v>123</v>
      </c>
    </row>
    <row r="32" spans="3:7" x14ac:dyDescent="0.25">
      <c r="C32" s="183" t="s">
        <v>124</v>
      </c>
      <c r="D32" s="183" t="s">
        <v>125</v>
      </c>
    </row>
    <row r="33" spans="3:4" x14ac:dyDescent="0.25">
      <c r="C33" s="183" t="s">
        <v>126</v>
      </c>
      <c r="D33" s="183" t="s">
        <v>127</v>
      </c>
    </row>
    <row r="34" spans="3:4" x14ac:dyDescent="0.25">
      <c r="C34" s="183" t="s">
        <v>128</v>
      </c>
      <c r="D34" s="183" t="s">
        <v>129</v>
      </c>
    </row>
    <row r="35" spans="3:4" x14ac:dyDescent="0.25">
      <c r="C35" s="183" t="s">
        <v>130</v>
      </c>
      <c r="D35" s="183" t="s">
        <v>131</v>
      </c>
    </row>
    <row r="36" spans="3:4" x14ac:dyDescent="0.25">
      <c r="C36" s="183" t="s">
        <v>132</v>
      </c>
      <c r="D36" s="183" t="s">
        <v>133</v>
      </c>
    </row>
    <row r="37" spans="3:4" x14ac:dyDescent="0.25">
      <c r="C37" s="183" t="s">
        <v>134</v>
      </c>
      <c r="D37" s="183" t="s">
        <v>135</v>
      </c>
    </row>
    <row r="38" spans="3:4" x14ac:dyDescent="0.25">
      <c r="C38" s="183" t="s">
        <v>136</v>
      </c>
      <c r="D38" s="183" t="s">
        <v>137</v>
      </c>
    </row>
    <row r="39" spans="3:4" x14ac:dyDescent="0.25">
      <c r="C39" s="183" t="s">
        <v>138</v>
      </c>
      <c r="D39" s="183" t="s">
        <v>139</v>
      </c>
    </row>
    <row r="40" spans="3:4" x14ac:dyDescent="0.25">
      <c r="C40" s="183" t="s">
        <v>140</v>
      </c>
      <c r="D40" s="183" t="s">
        <v>141</v>
      </c>
    </row>
    <row r="41" spans="3:4" x14ac:dyDescent="0.25">
      <c r="C41" s="183" t="s">
        <v>142</v>
      </c>
      <c r="D41" s="183" t="s">
        <v>143</v>
      </c>
    </row>
    <row r="42" spans="3:4" x14ac:dyDescent="0.25">
      <c r="C42" s="183" t="s">
        <v>144</v>
      </c>
      <c r="D42" s="183" t="s">
        <v>145</v>
      </c>
    </row>
    <row r="43" spans="3:4" x14ac:dyDescent="0.25">
      <c r="C43" s="183" t="s">
        <v>146</v>
      </c>
      <c r="D43" s="183" t="s">
        <v>147</v>
      </c>
    </row>
    <row r="44" spans="3:4" x14ac:dyDescent="0.25">
      <c r="C44" s="183" t="s">
        <v>148</v>
      </c>
      <c r="D44" s="183" t="s">
        <v>149</v>
      </c>
    </row>
    <row r="45" spans="3:4" x14ac:dyDescent="0.25">
      <c r="C45" s="183" t="s">
        <v>150</v>
      </c>
      <c r="D45" s="183" t="s">
        <v>151</v>
      </c>
    </row>
    <row r="46" spans="3:4" x14ac:dyDescent="0.25">
      <c r="C46" s="183" t="s">
        <v>152</v>
      </c>
      <c r="D46" s="183" t="s">
        <v>153</v>
      </c>
    </row>
    <row r="47" spans="3:4" x14ac:dyDescent="0.25">
      <c r="C47" s="183" t="s">
        <v>154</v>
      </c>
      <c r="D47" s="183" t="s">
        <v>155</v>
      </c>
    </row>
    <row r="48" spans="3:4" x14ac:dyDescent="0.25">
      <c r="C48" s="183" t="s">
        <v>156</v>
      </c>
      <c r="D48" s="183" t="s">
        <v>157</v>
      </c>
    </row>
    <row r="49" spans="3:4" x14ac:dyDescent="0.25">
      <c r="C49" s="183" t="s">
        <v>158</v>
      </c>
      <c r="D49" s="183" t="s">
        <v>159</v>
      </c>
    </row>
    <row r="50" spans="3:4" x14ac:dyDescent="0.25">
      <c r="C50" s="183" t="s">
        <v>160</v>
      </c>
      <c r="D50" s="183" t="s">
        <v>161</v>
      </c>
    </row>
    <row r="51" spans="3:4" x14ac:dyDescent="0.25">
      <c r="C51" s="183" t="s">
        <v>162</v>
      </c>
      <c r="D51" s="183" t="s">
        <v>163</v>
      </c>
    </row>
    <row r="52" spans="3:4" x14ac:dyDescent="0.25">
      <c r="C52" s="183" t="s">
        <v>164</v>
      </c>
      <c r="D52" s="183" t="s">
        <v>165</v>
      </c>
    </row>
    <row r="53" spans="3:4" x14ac:dyDescent="0.25">
      <c r="C53" s="183" t="s">
        <v>166</v>
      </c>
      <c r="D53" s="183" t="s">
        <v>167</v>
      </c>
    </row>
    <row r="54" spans="3:4" x14ac:dyDescent="0.25">
      <c r="C54" s="183" t="s">
        <v>168</v>
      </c>
      <c r="D54" s="183" t="s">
        <v>169</v>
      </c>
    </row>
    <row r="55" spans="3:4" x14ac:dyDescent="0.25">
      <c r="C55" s="183" t="s">
        <v>170</v>
      </c>
      <c r="D55" s="183" t="s">
        <v>171</v>
      </c>
    </row>
    <row r="56" spans="3:4" x14ac:dyDescent="0.25">
      <c r="C56" s="183" t="s">
        <v>172</v>
      </c>
      <c r="D56" s="183" t="s">
        <v>173</v>
      </c>
    </row>
    <row r="57" spans="3:4" x14ac:dyDescent="0.25">
      <c r="C57" s="183" t="s">
        <v>174</v>
      </c>
      <c r="D57" s="183" t="s">
        <v>175</v>
      </c>
    </row>
    <row r="58" spans="3:4" x14ac:dyDescent="0.25">
      <c r="C58" s="183" t="s">
        <v>176</v>
      </c>
      <c r="D58" s="183" t="s">
        <v>177</v>
      </c>
    </row>
    <row r="59" spans="3:4" x14ac:dyDescent="0.25">
      <c r="C59" s="183" t="s">
        <v>178</v>
      </c>
      <c r="D59" s="183" t="s">
        <v>179</v>
      </c>
    </row>
    <row r="60" spans="3:4" x14ac:dyDescent="0.25">
      <c r="C60" s="183" t="s">
        <v>180</v>
      </c>
      <c r="D60" s="183" t="s">
        <v>181</v>
      </c>
    </row>
    <row r="61" spans="3:4" x14ac:dyDescent="0.25">
      <c r="C61" s="183" t="s">
        <v>182</v>
      </c>
      <c r="D61" s="183" t="s">
        <v>183</v>
      </c>
    </row>
    <row r="62" spans="3:4" x14ac:dyDescent="0.25">
      <c r="C62" s="183" t="s">
        <v>184</v>
      </c>
      <c r="D62" s="183" t="s">
        <v>185</v>
      </c>
    </row>
    <row r="63" spans="3:4" x14ac:dyDescent="0.25">
      <c r="C63" s="183" t="s">
        <v>186</v>
      </c>
      <c r="D63" s="183" t="s">
        <v>187</v>
      </c>
    </row>
    <row r="64" spans="3:4" x14ac:dyDescent="0.25">
      <c r="C64" s="183" t="s">
        <v>188</v>
      </c>
      <c r="D64" s="183" t="s">
        <v>189</v>
      </c>
    </row>
    <row r="65" spans="3:4" x14ac:dyDescent="0.25">
      <c r="C65" s="183" t="s">
        <v>190</v>
      </c>
      <c r="D65" s="183" t="s">
        <v>191</v>
      </c>
    </row>
    <row r="66" spans="3:4" x14ac:dyDescent="0.25">
      <c r="C66" s="183" t="s">
        <v>192</v>
      </c>
      <c r="D66" s="183" t="s">
        <v>193</v>
      </c>
    </row>
    <row r="67" spans="3:4" x14ac:dyDescent="0.25">
      <c r="C67" s="183" t="s">
        <v>194</v>
      </c>
      <c r="D67" s="183" t="s">
        <v>195</v>
      </c>
    </row>
    <row r="68" spans="3:4" x14ac:dyDescent="0.25">
      <c r="C68" s="183" t="s">
        <v>196</v>
      </c>
      <c r="D68" s="183" t="s">
        <v>27</v>
      </c>
    </row>
    <row r="69" spans="3:4" x14ac:dyDescent="0.25">
      <c r="C69" s="183" t="s">
        <v>197</v>
      </c>
      <c r="D69" s="183" t="s">
        <v>198</v>
      </c>
    </row>
    <row r="70" spans="3:4" x14ac:dyDescent="0.25">
      <c r="C70" s="183" t="s">
        <v>199</v>
      </c>
      <c r="D70" s="183" t="s">
        <v>200</v>
      </c>
    </row>
    <row r="71" spans="3:4" x14ac:dyDescent="0.25">
      <c r="C71" s="183" t="s">
        <v>201</v>
      </c>
      <c r="D71" s="183" t="s">
        <v>202</v>
      </c>
    </row>
    <row r="72" spans="3:4" x14ac:dyDescent="0.25">
      <c r="C72" s="183" t="s">
        <v>203</v>
      </c>
      <c r="D72" s="183" t="s">
        <v>204</v>
      </c>
    </row>
    <row r="73" spans="3:4" x14ac:dyDescent="0.25">
      <c r="C73" s="183" t="s">
        <v>205</v>
      </c>
      <c r="D73" s="183" t="s">
        <v>206</v>
      </c>
    </row>
    <row r="74" spans="3:4" x14ac:dyDescent="0.25">
      <c r="C74" s="183" t="s">
        <v>207</v>
      </c>
      <c r="D74" s="183" t="s">
        <v>208</v>
      </c>
    </row>
    <row r="75" spans="3:4" x14ac:dyDescent="0.25">
      <c r="C75" s="183" t="s">
        <v>209</v>
      </c>
      <c r="D75" s="183" t="s">
        <v>210</v>
      </c>
    </row>
    <row r="76" spans="3:4" x14ac:dyDescent="0.25">
      <c r="C76" s="183" t="s">
        <v>249</v>
      </c>
      <c r="D76" s="183" t="s">
        <v>418</v>
      </c>
    </row>
    <row r="77" spans="3:4" x14ac:dyDescent="0.25">
      <c r="C77" s="183" t="s">
        <v>253</v>
      </c>
      <c r="D77" s="183" t="s">
        <v>419</v>
      </c>
    </row>
    <row r="78" spans="3:4" x14ac:dyDescent="0.25">
      <c r="C78" s="183" t="s">
        <v>254</v>
      </c>
      <c r="D78" s="183" t="s">
        <v>420</v>
      </c>
    </row>
    <row r="79" spans="3:4" x14ac:dyDescent="0.25">
      <c r="C79" s="183" t="s">
        <v>421</v>
      </c>
      <c r="D79" s="183" t="s">
        <v>422</v>
      </c>
    </row>
    <row r="80" spans="3:4" x14ac:dyDescent="0.25">
      <c r="C80" s="183" t="s">
        <v>251</v>
      </c>
      <c r="D80" s="183" t="s">
        <v>423</v>
      </c>
    </row>
    <row r="81" spans="3:4" x14ac:dyDescent="0.25">
      <c r="C81" s="183" t="s">
        <v>250</v>
      </c>
      <c r="D81" s="183" t="s">
        <v>424</v>
      </c>
    </row>
    <row r="82" spans="3:4" x14ac:dyDescent="0.25">
      <c r="C82" s="183" t="s">
        <v>425</v>
      </c>
      <c r="D82" s="183" t="s">
        <v>423</v>
      </c>
    </row>
    <row r="83" spans="3:4" x14ac:dyDescent="0.25">
      <c r="C83" s="183" t="s">
        <v>426</v>
      </c>
      <c r="D83" s="183" t="s">
        <v>427</v>
      </c>
    </row>
    <row r="84" spans="3:4" x14ac:dyDescent="0.25">
      <c r="C84" s="183" t="s">
        <v>428</v>
      </c>
      <c r="D84" s="183" t="s">
        <v>429</v>
      </c>
    </row>
    <row r="85" spans="3:4" x14ac:dyDescent="0.25">
      <c r="C85" s="183" t="s">
        <v>258</v>
      </c>
      <c r="D85" s="183" t="s">
        <v>430</v>
      </c>
    </row>
    <row r="86" spans="3:4" x14ac:dyDescent="0.25">
      <c r="C86" s="183" t="s">
        <v>259</v>
      </c>
      <c r="D86" s="183" t="s">
        <v>431</v>
      </c>
    </row>
    <row r="87" spans="3:4" x14ac:dyDescent="0.25">
      <c r="C87" s="183" t="s">
        <v>432</v>
      </c>
      <c r="D87" s="183" t="s">
        <v>433</v>
      </c>
    </row>
    <row r="88" spans="3:4" x14ac:dyDescent="0.25">
      <c r="C88" s="183" t="s">
        <v>434</v>
      </c>
      <c r="D88" s="183" t="s">
        <v>435</v>
      </c>
    </row>
    <row r="89" spans="3:4" x14ac:dyDescent="0.25">
      <c r="C89" s="183" t="s">
        <v>436</v>
      </c>
      <c r="D89" s="183" t="s">
        <v>437</v>
      </c>
    </row>
    <row r="90" spans="3:4" x14ac:dyDescent="0.25">
      <c r="C90" s="183" t="s">
        <v>438</v>
      </c>
      <c r="D90" s="183" t="s">
        <v>439</v>
      </c>
    </row>
    <row r="91" spans="3:4" x14ac:dyDescent="0.25">
      <c r="C91" s="183" t="s">
        <v>440</v>
      </c>
      <c r="D91" s="183" t="s">
        <v>441</v>
      </c>
    </row>
    <row r="92" spans="3:4" x14ac:dyDescent="0.25">
      <c r="C92" s="183" t="s">
        <v>442</v>
      </c>
      <c r="D92" s="183" t="s">
        <v>443</v>
      </c>
    </row>
    <row r="93" spans="3:4" x14ac:dyDescent="0.25">
      <c r="C93" s="183" t="s">
        <v>444</v>
      </c>
      <c r="D93" s="183" t="s">
        <v>445</v>
      </c>
    </row>
    <row r="94" spans="3:4" x14ac:dyDescent="0.25">
      <c r="C94" s="183" t="s">
        <v>446</v>
      </c>
      <c r="D94" s="183" t="s">
        <v>447</v>
      </c>
    </row>
    <row r="95" spans="3:4" x14ac:dyDescent="0.25">
      <c r="C95" s="183" t="s">
        <v>448</v>
      </c>
      <c r="D95" s="183" t="s">
        <v>449</v>
      </c>
    </row>
    <row r="96" spans="3:4" x14ac:dyDescent="0.25">
      <c r="C96" s="183" t="s">
        <v>261</v>
      </c>
      <c r="D96" s="183" t="s">
        <v>450</v>
      </c>
    </row>
    <row r="97" spans="3:4" x14ac:dyDescent="0.25">
      <c r="C97" s="183" t="s">
        <v>451</v>
      </c>
      <c r="D97" s="183" t="s">
        <v>452</v>
      </c>
    </row>
    <row r="98" spans="3:4" x14ac:dyDescent="0.25">
      <c r="C98" s="183" t="s">
        <v>453</v>
      </c>
      <c r="D98" s="183" t="s">
        <v>454</v>
      </c>
    </row>
    <row r="99" spans="3:4" x14ac:dyDescent="0.25">
      <c r="C99" s="183" t="s">
        <v>455</v>
      </c>
      <c r="D99" s="183" t="s">
        <v>456</v>
      </c>
    </row>
    <row r="100" spans="3:4" x14ac:dyDescent="0.25">
      <c r="C100" s="183" t="s">
        <v>457</v>
      </c>
      <c r="D100" s="183" t="s">
        <v>458</v>
      </c>
    </row>
    <row r="101" spans="3:4" x14ac:dyDescent="0.25">
      <c r="C101" s="183" t="s">
        <v>459</v>
      </c>
      <c r="D101" s="183" t="s">
        <v>460</v>
      </c>
    </row>
    <row r="102" spans="3:4" x14ac:dyDescent="0.25">
      <c r="C102" s="183" t="s">
        <v>263</v>
      </c>
      <c r="D102" s="183" t="s">
        <v>461</v>
      </c>
    </row>
    <row r="103" spans="3:4" x14ac:dyDescent="0.25">
      <c r="C103" s="183" t="s">
        <v>462</v>
      </c>
      <c r="D103" s="183" t="s">
        <v>463</v>
      </c>
    </row>
    <row r="104" spans="3:4" x14ac:dyDescent="0.25">
      <c r="C104" s="183" t="s">
        <v>464</v>
      </c>
      <c r="D104" s="183" t="s">
        <v>465</v>
      </c>
    </row>
    <row r="105" spans="3:4" x14ac:dyDescent="0.25">
      <c r="C105" s="183" t="s">
        <v>466</v>
      </c>
      <c r="D105" s="183" t="s">
        <v>467</v>
      </c>
    </row>
    <row r="106" spans="3:4" x14ac:dyDescent="0.25">
      <c r="C106" s="183" t="s">
        <v>468</v>
      </c>
      <c r="D106" s="183" t="s">
        <v>469</v>
      </c>
    </row>
    <row r="107" spans="3:4" x14ac:dyDescent="0.25">
      <c r="C107" s="183" t="s">
        <v>470</v>
      </c>
      <c r="D107" s="183" t="s">
        <v>471</v>
      </c>
    </row>
    <row r="108" spans="3:4" x14ac:dyDescent="0.25">
      <c r="C108" s="183" t="s">
        <v>472</v>
      </c>
      <c r="D108" s="183" t="s">
        <v>473</v>
      </c>
    </row>
    <row r="109" spans="3:4" x14ac:dyDescent="0.25">
      <c r="C109" s="183" t="s">
        <v>474</v>
      </c>
      <c r="D109" s="183" t="s">
        <v>475</v>
      </c>
    </row>
    <row r="110" spans="3:4" x14ac:dyDescent="0.25">
      <c r="C110" s="183" t="s">
        <v>476</v>
      </c>
      <c r="D110" s="183" t="s">
        <v>477</v>
      </c>
    </row>
    <row r="111" spans="3:4" x14ac:dyDescent="0.25">
      <c r="C111" s="183" t="s">
        <v>478</v>
      </c>
      <c r="D111" s="183" t="s">
        <v>479</v>
      </c>
    </row>
    <row r="112" spans="3:4" x14ac:dyDescent="0.25">
      <c r="C112" s="183" t="s">
        <v>480</v>
      </c>
      <c r="D112" s="183" t="s">
        <v>481</v>
      </c>
    </row>
    <row r="113" spans="3:4" x14ac:dyDescent="0.25">
      <c r="C113" s="183" t="s">
        <v>265</v>
      </c>
      <c r="D113" s="183" t="s">
        <v>482</v>
      </c>
    </row>
    <row r="114" spans="3:4" x14ac:dyDescent="0.25">
      <c r="C114" s="183" t="s">
        <v>483</v>
      </c>
      <c r="D114" s="183" t="s">
        <v>484</v>
      </c>
    </row>
    <row r="115" spans="3:4" x14ac:dyDescent="0.25">
      <c r="C115" s="183" t="s">
        <v>485</v>
      </c>
      <c r="D115" s="183" t="s">
        <v>486</v>
      </c>
    </row>
    <row r="116" spans="3:4" x14ac:dyDescent="0.25">
      <c r="C116" s="183" t="s">
        <v>487</v>
      </c>
      <c r="D116" s="183" t="s">
        <v>488</v>
      </c>
    </row>
    <row r="117" spans="3:4" x14ac:dyDescent="0.25">
      <c r="C117" s="183" t="s">
        <v>489</v>
      </c>
      <c r="D117" s="183" t="s">
        <v>490</v>
      </c>
    </row>
    <row r="118" spans="3:4" x14ac:dyDescent="0.25">
      <c r="C118" s="183" t="s">
        <v>491</v>
      </c>
      <c r="D118" s="183" t="s">
        <v>492</v>
      </c>
    </row>
    <row r="119" spans="3:4" x14ac:dyDescent="0.25">
      <c r="C119" s="183" t="s">
        <v>493</v>
      </c>
      <c r="D119" s="183" t="s">
        <v>494</v>
      </c>
    </row>
    <row r="120" spans="3:4" x14ac:dyDescent="0.25">
      <c r="C120" s="183" t="s">
        <v>495</v>
      </c>
      <c r="D120" s="183" t="s">
        <v>496</v>
      </c>
    </row>
    <row r="121" spans="3:4" x14ac:dyDescent="0.25">
      <c r="C121" s="183" t="s">
        <v>497</v>
      </c>
      <c r="D121" s="183" t="s">
        <v>498</v>
      </c>
    </row>
    <row r="122" spans="3:4" x14ac:dyDescent="0.25">
      <c r="C122" s="183" t="s">
        <v>499</v>
      </c>
      <c r="D122" s="183" t="s">
        <v>500</v>
      </c>
    </row>
    <row r="123" spans="3:4" x14ac:dyDescent="0.25">
      <c r="C123" s="183" t="s">
        <v>501</v>
      </c>
      <c r="D123" s="183" t="s">
        <v>502</v>
      </c>
    </row>
    <row r="124" spans="3:4" x14ac:dyDescent="0.25">
      <c r="C124" s="183" t="s">
        <v>503</v>
      </c>
      <c r="D124" s="183" t="s">
        <v>504</v>
      </c>
    </row>
    <row r="125" spans="3:4" x14ac:dyDescent="0.25">
      <c r="C125" s="183" t="s">
        <v>505</v>
      </c>
      <c r="D125" s="183" t="s">
        <v>506</v>
      </c>
    </row>
    <row r="126" spans="3:4" x14ac:dyDescent="0.25">
      <c r="C126" s="183" t="s">
        <v>507</v>
      </c>
      <c r="D126" s="183" t="s">
        <v>508</v>
      </c>
    </row>
    <row r="127" spans="3:4" x14ac:dyDescent="0.25">
      <c r="C127" s="183" t="s">
        <v>509</v>
      </c>
      <c r="D127" s="183" t="s">
        <v>510</v>
      </c>
    </row>
    <row r="128" spans="3:4" x14ac:dyDescent="0.25">
      <c r="C128" s="183" t="s">
        <v>511</v>
      </c>
      <c r="D128" s="183" t="s">
        <v>512</v>
      </c>
    </row>
    <row r="129" spans="3:4" x14ac:dyDescent="0.25">
      <c r="C129" s="183" t="s">
        <v>513</v>
      </c>
      <c r="D129" s="183" t="s">
        <v>514</v>
      </c>
    </row>
    <row r="130" spans="3:4" x14ac:dyDescent="0.25">
      <c r="C130" s="183" t="s">
        <v>515</v>
      </c>
      <c r="D130" s="183" t="s">
        <v>516</v>
      </c>
    </row>
    <row r="131" spans="3:4" x14ac:dyDescent="0.25">
      <c r="C131" s="183" t="s">
        <v>517</v>
      </c>
      <c r="D131" s="183" t="s">
        <v>518</v>
      </c>
    </row>
    <row r="132" spans="3:4" x14ac:dyDescent="0.25">
      <c r="C132" s="183" t="s">
        <v>519</v>
      </c>
      <c r="D132" s="183" t="s">
        <v>520</v>
      </c>
    </row>
    <row r="133" spans="3:4" x14ac:dyDescent="0.25">
      <c r="C133" s="183" t="s">
        <v>521</v>
      </c>
      <c r="D133" s="183" t="s">
        <v>522</v>
      </c>
    </row>
    <row r="134" spans="3:4" x14ac:dyDescent="0.25">
      <c r="C134" s="183" t="s">
        <v>523</v>
      </c>
      <c r="D134" s="183" t="s">
        <v>524</v>
      </c>
    </row>
    <row r="135" spans="3:4" x14ac:dyDescent="0.25">
      <c r="C135" s="183" t="s">
        <v>525</v>
      </c>
      <c r="D135" s="183" t="s">
        <v>526</v>
      </c>
    </row>
    <row r="136" spans="3:4" x14ac:dyDescent="0.25">
      <c r="C136" s="183" t="s">
        <v>527</v>
      </c>
      <c r="D136" s="183" t="s">
        <v>528</v>
      </c>
    </row>
    <row r="137" spans="3:4" x14ac:dyDescent="0.25">
      <c r="C137" s="183" t="s">
        <v>529</v>
      </c>
      <c r="D137" s="183" t="s">
        <v>530</v>
      </c>
    </row>
    <row r="138" spans="3:4" x14ac:dyDescent="0.25">
      <c r="C138" s="183" t="s">
        <v>269</v>
      </c>
      <c r="D138" s="183" t="s">
        <v>531</v>
      </c>
    </row>
    <row r="139" spans="3:4" x14ac:dyDescent="0.25">
      <c r="C139" s="183" t="s">
        <v>532</v>
      </c>
      <c r="D139" s="183" t="s">
        <v>533</v>
      </c>
    </row>
    <row r="140" spans="3:4" x14ac:dyDescent="0.25">
      <c r="C140" s="183" t="s">
        <v>534</v>
      </c>
      <c r="D140" s="183" t="s">
        <v>535</v>
      </c>
    </row>
    <row r="141" spans="3:4" x14ac:dyDescent="0.25">
      <c r="C141" s="183" t="s">
        <v>536</v>
      </c>
      <c r="D141" s="183" t="s">
        <v>537</v>
      </c>
    </row>
    <row r="142" spans="3:4" x14ac:dyDescent="0.25">
      <c r="C142" s="183" t="s">
        <v>272</v>
      </c>
      <c r="D142" s="183" t="s">
        <v>538</v>
      </c>
    </row>
    <row r="143" spans="3:4" x14ac:dyDescent="0.25">
      <c r="C143" s="183" t="s">
        <v>539</v>
      </c>
      <c r="D143" s="183" t="s">
        <v>540</v>
      </c>
    </row>
    <row r="144" spans="3:4" x14ac:dyDescent="0.25">
      <c r="C144" s="183" t="s">
        <v>541</v>
      </c>
      <c r="D144" s="183" t="s">
        <v>542</v>
      </c>
    </row>
    <row r="145" spans="3:4" x14ac:dyDescent="0.25">
      <c r="C145" s="183" t="s">
        <v>271</v>
      </c>
      <c r="D145" s="183" t="s">
        <v>543</v>
      </c>
    </row>
    <row r="146" spans="3:4" x14ac:dyDescent="0.25">
      <c r="C146" s="183" t="s">
        <v>544</v>
      </c>
      <c r="D146" s="183" t="s">
        <v>545</v>
      </c>
    </row>
    <row r="147" spans="3:4" x14ac:dyDescent="0.25">
      <c r="C147" s="183" t="s">
        <v>546</v>
      </c>
      <c r="D147" s="183" t="s">
        <v>547</v>
      </c>
    </row>
    <row r="148" spans="3:4" x14ac:dyDescent="0.25">
      <c r="C148" s="183" t="s">
        <v>268</v>
      </c>
      <c r="D148" s="183" t="s">
        <v>548</v>
      </c>
    </row>
    <row r="149" spans="3:4" x14ac:dyDescent="0.25">
      <c r="C149" s="183" t="s">
        <v>549</v>
      </c>
      <c r="D149" s="183" t="s">
        <v>550</v>
      </c>
    </row>
    <row r="150" spans="3:4" x14ac:dyDescent="0.25">
      <c r="C150" s="183" t="s">
        <v>270</v>
      </c>
      <c r="D150" s="183" t="s">
        <v>551</v>
      </c>
    </row>
    <row r="151" spans="3:4" x14ac:dyDescent="0.25">
      <c r="C151" s="183" t="s">
        <v>552</v>
      </c>
      <c r="D151" s="183" t="s">
        <v>553</v>
      </c>
    </row>
    <row r="152" spans="3:4" x14ac:dyDescent="0.25">
      <c r="C152" s="183" t="s">
        <v>554</v>
      </c>
      <c r="D152" s="183" t="s">
        <v>555</v>
      </c>
    </row>
    <row r="153" spans="3:4" x14ac:dyDescent="0.25">
      <c r="C153" s="183" t="s">
        <v>556</v>
      </c>
      <c r="D153" s="183" t="s">
        <v>557</v>
      </c>
    </row>
    <row r="154" spans="3:4" x14ac:dyDescent="0.25">
      <c r="C154" s="183" t="s">
        <v>558</v>
      </c>
      <c r="D154" s="183" t="s">
        <v>559</v>
      </c>
    </row>
    <row r="155" spans="3:4" x14ac:dyDescent="0.25">
      <c r="C155" s="183" t="s">
        <v>560</v>
      </c>
      <c r="D155" s="183" t="s">
        <v>561</v>
      </c>
    </row>
    <row r="156" spans="3:4" x14ac:dyDescent="0.25">
      <c r="C156" s="183" t="s">
        <v>562</v>
      </c>
      <c r="D156" s="183" t="s">
        <v>563</v>
      </c>
    </row>
    <row r="157" spans="3:4" x14ac:dyDescent="0.25">
      <c r="C157" s="183" t="s">
        <v>564</v>
      </c>
      <c r="D157" s="183" t="s">
        <v>565</v>
      </c>
    </row>
    <row r="158" spans="3:4" x14ac:dyDescent="0.25">
      <c r="C158" s="183" t="s">
        <v>566</v>
      </c>
      <c r="D158" s="183" t="s">
        <v>567</v>
      </c>
    </row>
    <row r="159" spans="3:4" x14ac:dyDescent="0.25">
      <c r="C159" s="183" t="s">
        <v>568</v>
      </c>
      <c r="D159" s="183" t="s">
        <v>569</v>
      </c>
    </row>
    <row r="160" spans="3:4" x14ac:dyDescent="0.25">
      <c r="C160" s="183" t="s">
        <v>276</v>
      </c>
      <c r="D160" s="183" t="s">
        <v>570</v>
      </c>
    </row>
    <row r="161" spans="3:4" x14ac:dyDescent="0.25">
      <c r="C161" s="183" t="s">
        <v>280</v>
      </c>
      <c r="D161" s="183" t="s">
        <v>571</v>
      </c>
    </row>
    <row r="162" spans="3:4" x14ac:dyDescent="0.25">
      <c r="C162" s="183" t="s">
        <v>572</v>
      </c>
      <c r="D162" s="183" t="s">
        <v>573</v>
      </c>
    </row>
    <row r="163" spans="3:4" x14ac:dyDescent="0.25">
      <c r="C163" s="183" t="s">
        <v>574</v>
      </c>
      <c r="D163" s="183" t="s">
        <v>575</v>
      </c>
    </row>
    <row r="164" spans="3:4" x14ac:dyDescent="0.25">
      <c r="C164" s="183" t="s">
        <v>291</v>
      </c>
      <c r="D164" s="183" t="s">
        <v>576</v>
      </c>
    </row>
    <row r="165" spans="3:4" x14ac:dyDescent="0.25">
      <c r="C165" s="183" t="s">
        <v>577</v>
      </c>
      <c r="D165" s="183" t="s">
        <v>578</v>
      </c>
    </row>
    <row r="166" spans="3:4" x14ac:dyDescent="0.25">
      <c r="C166" s="183" t="s">
        <v>287</v>
      </c>
      <c r="D166" s="183" t="s">
        <v>579</v>
      </c>
    </row>
    <row r="167" spans="3:4" x14ac:dyDescent="0.25">
      <c r="C167" s="183" t="s">
        <v>580</v>
      </c>
      <c r="D167" s="183" t="s">
        <v>581</v>
      </c>
    </row>
    <row r="168" spans="3:4" x14ac:dyDescent="0.25">
      <c r="C168" s="183" t="s">
        <v>582</v>
      </c>
      <c r="D168" s="183" t="s">
        <v>583</v>
      </c>
    </row>
    <row r="169" spans="3:4" x14ac:dyDescent="0.25">
      <c r="C169" s="183" t="s">
        <v>584</v>
      </c>
      <c r="D169" s="183" t="s">
        <v>585</v>
      </c>
    </row>
    <row r="170" spans="3:4" x14ac:dyDescent="0.25">
      <c r="C170" s="183" t="s">
        <v>586</v>
      </c>
      <c r="D170" s="183" t="s">
        <v>587</v>
      </c>
    </row>
    <row r="171" spans="3:4" x14ac:dyDescent="0.25">
      <c r="C171" s="183" t="s">
        <v>588</v>
      </c>
      <c r="D171" s="183" t="s">
        <v>589</v>
      </c>
    </row>
    <row r="172" spans="3:4" x14ac:dyDescent="0.25">
      <c r="C172" s="183" t="s">
        <v>590</v>
      </c>
      <c r="D172" s="183" t="s">
        <v>591</v>
      </c>
    </row>
    <row r="173" spans="3:4" x14ac:dyDescent="0.25">
      <c r="C173" s="183" t="s">
        <v>284</v>
      </c>
      <c r="D173" s="183" t="s">
        <v>592</v>
      </c>
    </row>
    <row r="174" spans="3:4" x14ac:dyDescent="0.25">
      <c r="C174" s="183" t="s">
        <v>593</v>
      </c>
      <c r="D174" s="183" t="s">
        <v>594</v>
      </c>
    </row>
    <row r="175" spans="3:4" x14ac:dyDescent="0.25">
      <c r="C175" s="183" t="s">
        <v>595</v>
      </c>
      <c r="D175" s="183" t="s">
        <v>596</v>
      </c>
    </row>
    <row r="176" spans="3:4" x14ac:dyDescent="0.25">
      <c r="C176" s="183" t="s">
        <v>597</v>
      </c>
      <c r="D176" s="183" t="s">
        <v>598</v>
      </c>
    </row>
    <row r="177" spans="3:4" x14ac:dyDescent="0.25">
      <c r="C177" s="183" t="s">
        <v>290</v>
      </c>
      <c r="D177" s="183" t="s">
        <v>599</v>
      </c>
    </row>
    <row r="178" spans="3:4" x14ac:dyDescent="0.25">
      <c r="C178" s="183" t="s">
        <v>292</v>
      </c>
      <c r="D178" s="183" t="s">
        <v>600</v>
      </c>
    </row>
    <row r="179" spans="3:4" x14ac:dyDescent="0.25">
      <c r="C179" s="183" t="s">
        <v>601</v>
      </c>
      <c r="D179" s="183" t="s">
        <v>602</v>
      </c>
    </row>
    <row r="180" spans="3:4" x14ac:dyDescent="0.25">
      <c r="C180" s="183" t="s">
        <v>603</v>
      </c>
      <c r="D180" s="183" t="s">
        <v>604</v>
      </c>
    </row>
    <row r="181" spans="3:4" x14ac:dyDescent="0.25">
      <c r="C181" s="183" t="s">
        <v>605</v>
      </c>
      <c r="D181" s="183" t="s">
        <v>606</v>
      </c>
    </row>
    <row r="182" spans="3:4" x14ac:dyDescent="0.25">
      <c r="C182" s="183" t="s">
        <v>607</v>
      </c>
      <c r="D182" s="183" t="s">
        <v>608</v>
      </c>
    </row>
    <row r="183" spans="3:4" x14ac:dyDescent="0.25">
      <c r="C183" s="183" t="s">
        <v>609</v>
      </c>
      <c r="D183" s="183" t="s">
        <v>610</v>
      </c>
    </row>
    <row r="184" spans="3:4" x14ac:dyDescent="0.25">
      <c r="C184" s="183" t="s">
        <v>611</v>
      </c>
      <c r="D184" s="183" t="s">
        <v>612</v>
      </c>
    </row>
    <row r="185" spans="3:4" x14ac:dyDescent="0.25">
      <c r="C185" s="183" t="s">
        <v>613</v>
      </c>
      <c r="D185" s="183" t="s">
        <v>614</v>
      </c>
    </row>
    <row r="186" spans="3:4" x14ac:dyDescent="0.25">
      <c r="C186" s="183" t="s">
        <v>294</v>
      </c>
      <c r="D186" s="183" t="s">
        <v>615</v>
      </c>
    </row>
    <row r="187" spans="3:4" x14ac:dyDescent="0.25">
      <c r="C187" s="183" t="s">
        <v>616</v>
      </c>
      <c r="D187" s="183" t="s">
        <v>617</v>
      </c>
    </row>
    <row r="188" spans="3:4" x14ac:dyDescent="0.25">
      <c r="C188" s="183" t="s">
        <v>618</v>
      </c>
      <c r="D188" s="183" t="s">
        <v>619</v>
      </c>
    </row>
    <row r="189" spans="3:4" x14ac:dyDescent="0.25">
      <c r="C189" s="183" t="s">
        <v>620</v>
      </c>
      <c r="D189" s="183" t="s">
        <v>621</v>
      </c>
    </row>
    <row r="190" spans="3:4" x14ac:dyDescent="0.25">
      <c r="C190" s="183" t="s">
        <v>622</v>
      </c>
      <c r="D190" s="183" t="s">
        <v>623</v>
      </c>
    </row>
    <row r="191" spans="3:4" x14ac:dyDescent="0.25">
      <c r="C191" s="183" t="s">
        <v>624</v>
      </c>
      <c r="D191" s="183" t="s">
        <v>625</v>
      </c>
    </row>
    <row r="192" spans="3:4" x14ac:dyDescent="0.25">
      <c r="C192" s="183" t="s">
        <v>626</v>
      </c>
      <c r="D192" s="183" t="s">
        <v>627</v>
      </c>
    </row>
    <row r="193" spans="3:4" x14ac:dyDescent="0.25">
      <c r="C193" s="183" t="s">
        <v>296</v>
      </c>
      <c r="D193" s="183" t="s">
        <v>628</v>
      </c>
    </row>
    <row r="194" spans="3:4" x14ac:dyDescent="0.25">
      <c r="C194" s="183" t="s">
        <v>295</v>
      </c>
      <c r="D194" s="183" t="s">
        <v>629</v>
      </c>
    </row>
    <row r="195" spans="3:4" x14ac:dyDescent="0.25">
      <c r="C195" s="183" t="s">
        <v>297</v>
      </c>
      <c r="D195" s="183" t="s">
        <v>630</v>
      </c>
    </row>
    <row r="196" spans="3:4" x14ac:dyDescent="0.25">
      <c r="C196" s="183" t="s">
        <v>631</v>
      </c>
      <c r="D196" s="183" t="s">
        <v>632</v>
      </c>
    </row>
    <row r="197" spans="3:4" x14ac:dyDescent="0.25">
      <c r="C197" s="183" t="s">
        <v>633</v>
      </c>
      <c r="D197" s="183" t="s">
        <v>634</v>
      </c>
    </row>
    <row r="198" spans="3:4" x14ac:dyDescent="0.25">
      <c r="C198" s="183" t="s">
        <v>635</v>
      </c>
      <c r="D198" s="183" t="s">
        <v>636</v>
      </c>
    </row>
    <row r="199" spans="3:4" x14ac:dyDescent="0.25">
      <c r="C199" s="183" t="s">
        <v>637</v>
      </c>
      <c r="D199" s="183" t="s">
        <v>638</v>
      </c>
    </row>
    <row r="200" spans="3:4" x14ac:dyDescent="0.25">
      <c r="C200" s="183" t="s">
        <v>639</v>
      </c>
      <c r="D200" s="183" t="s">
        <v>640</v>
      </c>
    </row>
    <row r="201" spans="3:4" x14ac:dyDescent="0.25">
      <c r="C201" s="183" t="s">
        <v>641</v>
      </c>
      <c r="D201" s="183" t="s">
        <v>642</v>
      </c>
    </row>
    <row r="202" spans="3:4" x14ac:dyDescent="0.25">
      <c r="C202" s="183" t="s">
        <v>643</v>
      </c>
      <c r="D202" s="183" t="s">
        <v>644</v>
      </c>
    </row>
    <row r="203" spans="3:4" x14ac:dyDescent="0.25">
      <c r="C203" s="183" t="s">
        <v>645</v>
      </c>
      <c r="D203" s="183" t="s">
        <v>646</v>
      </c>
    </row>
    <row r="204" spans="3:4" x14ac:dyDescent="0.25">
      <c r="C204" s="183" t="s">
        <v>647</v>
      </c>
      <c r="D204" s="183" t="s">
        <v>648</v>
      </c>
    </row>
    <row r="205" spans="3:4" x14ac:dyDescent="0.25">
      <c r="C205" s="183" t="s">
        <v>649</v>
      </c>
      <c r="D205" s="183" t="s">
        <v>650</v>
      </c>
    </row>
    <row r="206" spans="3:4" x14ac:dyDescent="0.25">
      <c r="C206" s="183" t="s">
        <v>651</v>
      </c>
      <c r="D206" s="183" t="s">
        <v>652</v>
      </c>
    </row>
    <row r="207" spans="3:4" x14ac:dyDescent="0.25">
      <c r="C207" s="183" t="s">
        <v>653</v>
      </c>
      <c r="D207" s="183" t="s">
        <v>654</v>
      </c>
    </row>
    <row r="208" spans="3:4" x14ac:dyDescent="0.25">
      <c r="C208" s="183" t="s">
        <v>655</v>
      </c>
      <c r="D208" s="183" t="s">
        <v>656</v>
      </c>
    </row>
    <row r="209" spans="3:4" x14ac:dyDescent="0.25">
      <c r="C209" s="183" t="s">
        <v>657</v>
      </c>
      <c r="D209" s="183" t="s">
        <v>658</v>
      </c>
    </row>
    <row r="210" spans="3:4" x14ac:dyDescent="0.25">
      <c r="C210" s="183" t="s">
        <v>659</v>
      </c>
      <c r="D210" s="183" t="s">
        <v>660</v>
      </c>
    </row>
    <row r="211" spans="3:4" x14ac:dyDescent="0.25">
      <c r="C211" s="183" t="s">
        <v>661</v>
      </c>
      <c r="D211" s="183" t="s">
        <v>662</v>
      </c>
    </row>
    <row r="212" spans="3:4" x14ac:dyDescent="0.25">
      <c r="C212" s="183" t="s">
        <v>300</v>
      </c>
      <c r="D212" s="183" t="s">
        <v>663</v>
      </c>
    </row>
    <row r="213" spans="3:4" x14ac:dyDescent="0.25">
      <c r="C213" s="183" t="s">
        <v>664</v>
      </c>
      <c r="D213" s="183" t="s">
        <v>652</v>
      </c>
    </row>
    <row r="214" spans="3:4" x14ac:dyDescent="0.25">
      <c r="C214" s="183" t="s">
        <v>302</v>
      </c>
      <c r="D214" s="183" t="s">
        <v>658</v>
      </c>
    </row>
    <row r="215" spans="3:4" x14ac:dyDescent="0.25">
      <c r="C215" s="183" t="s">
        <v>665</v>
      </c>
      <c r="D215" s="183" t="s">
        <v>666</v>
      </c>
    </row>
    <row r="216" spans="3:4" x14ac:dyDescent="0.25">
      <c r="C216" s="183" t="s">
        <v>667</v>
      </c>
      <c r="D216" s="183" t="s">
        <v>668</v>
      </c>
    </row>
    <row r="217" spans="3:4" x14ac:dyDescent="0.25">
      <c r="C217" s="183" t="s">
        <v>669</v>
      </c>
      <c r="D217" s="183" t="s">
        <v>670</v>
      </c>
    </row>
    <row r="218" spans="3:4" x14ac:dyDescent="0.25">
      <c r="C218" s="183" t="s">
        <v>671</v>
      </c>
      <c r="D218" s="183" t="s">
        <v>672</v>
      </c>
    </row>
    <row r="219" spans="3:4" x14ac:dyDescent="0.25">
      <c r="C219" s="183" t="s">
        <v>673</v>
      </c>
      <c r="D219" s="183" t="s">
        <v>674</v>
      </c>
    </row>
    <row r="220" spans="3:4" x14ac:dyDescent="0.25">
      <c r="C220" s="183" t="s">
        <v>675</v>
      </c>
      <c r="D220" s="183" t="s">
        <v>676</v>
      </c>
    </row>
    <row r="221" spans="3:4" x14ac:dyDescent="0.25">
      <c r="C221" s="183" t="s">
        <v>677</v>
      </c>
      <c r="D221" s="183" t="s">
        <v>678</v>
      </c>
    </row>
    <row r="222" spans="3:4" x14ac:dyDescent="0.25">
      <c r="C222" s="183" t="s">
        <v>679</v>
      </c>
      <c r="D222" s="183" t="s">
        <v>680</v>
      </c>
    </row>
    <row r="223" spans="3:4" x14ac:dyDescent="0.25">
      <c r="C223" s="183" t="s">
        <v>304</v>
      </c>
      <c r="D223" s="183" t="s">
        <v>681</v>
      </c>
    </row>
    <row r="224" spans="3:4" x14ac:dyDescent="0.25">
      <c r="C224" s="183" t="s">
        <v>682</v>
      </c>
      <c r="D224" s="183" t="s">
        <v>683</v>
      </c>
    </row>
    <row r="225" spans="3:4" x14ac:dyDescent="0.25">
      <c r="C225" s="183" t="s">
        <v>684</v>
      </c>
      <c r="D225" s="183" t="s">
        <v>685</v>
      </c>
    </row>
    <row r="226" spans="3:4" x14ac:dyDescent="0.25">
      <c r="C226" s="183" t="s">
        <v>686</v>
      </c>
      <c r="D226" s="183" t="s">
        <v>687</v>
      </c>
    </row>
    <row r="227" spans="3:4" x14ac:dyDescent="0.25">
      <c r="C227" s="183" t="s">
        <v>688</v>
      </c>
      <c r="D227" s="183" t="s">
        <v>689</v>
      </c>
    </row>
    <row r="228" spans="3:4" x14ac:dyDescent="0.25">
      <c r="C228" s="183" t="s">
        <v>690</v>
      </c>
      <c r="D228" s="183" t="s">
        <v>691</v>
      </c>
    </row>
    <row r="229" spans="3:4" x14ac:dyDescent="0.25">
      <c r="C229" s="183" t="s">
        <v>692</v>
      </c>
      <c r="D229" s="183" t="s">
        <v>693</v>
      </c>
    </row>
    <row r="230" spans="3:4" x14ac:dyDescent="0.25">
      <c r="C230" s="183" t="s">
        <v>694</v>
      </c>
      <c r="D230" s="183" t="s">
        <v>695</v>
      </c>
    </row>
    <row r="231" spans="3:4" x14ac:dyDescent="0.25">
      <c r="C231" s="183" t="s">
        <v>306</v>
      </c>
      <c r="D231" s="183" t="s">
        <v>696</v>
      </c>
    </row>
    <row r="232" spans="3:4" x14ac:dyDescent="0.25">
      <c r="C232" s="183" t="s">
        <v>697</v>
      </c>
      <c r="D232" s="183" t="s">
        <v>698</v>
      </c>
    </row>
    <row r="233" spans="3:4" x14ac:dyDescent="0.25">
      <c r="C233" s="183" t="s">
        <v>699</v>
      </c>
      <c r="D233" s="183" t="s">
        <v>700</v>
      </c>
    </row>
    <row r="234" spans="3:4" x14ac:dyDescent="0.25">
      <c r="C234" s="183" t="s">
        <v>701</v>
      </c>
      <c r="D234" s="183" t="s">
        <v>702</v>
      </c>
    </row>
    <row r="235" spans="3:4" x14ac:dyDescent="0.25">
      <c r="C235" s="183" t="s">
        <v>308</v>
      </c>
      <c r="D235" s="183" t="s">
        <v>703</v>
      </c>
    </row>
    <row r="236" spans="3:4" x14ac:dyDescent="0.25">
      <c r="C236" s="183" t="s">
        <v>704</v>
      </c>
      <c r="D236" s="183" t="s">
        <v>705</v>
      </c>
    </row>
    <row r="237" spans="3:4" x14ac:dyDescent="0.25">
      <c r="C237" s="183" t="s">
        <v>706</v>
      </c>
      <c r="D237" s="183" t="s">
        <v>707</v>
      </c>
    </row>
    <row r="238" spans="3:4" x14ac:dyDescent="0.25">
      <c r="C238" s="183" t="s">
        <v>708</v>
      </c>
      <c r="D238" s="183" t="s">
        <v>709</v>
      </c>
    </row>
    <row r="239" spans="3:4" x14ac:dyDescent="0.25">
      <c r="C239" s="183" t="s">
        <v>710</v>
      </c>
      <c r="D239" s="183" t="s">
        <v>711</v>
      </c>
    </row>
    <row r="240" spans="3:4" x14ac:dyDescent="0.25">
      <c r="C240" s="183" t="s">
        <v>712</v>
      </c>
      <c r="D240" s="183" t="s">
        <v>713</v>
      </c>
    </row>
    <row r="241" spans="3:4" x14ac:dyDescent="0.25">
      <c r="C241" s="183" t="s">
        <v>714</v>
      </c>
      <c r="D241" s="183" t="s">
        <v>715</v>
      </c>
    </row>
    <row r="242" spans="3:4" x14ac:dyDescent="0.25">
      <c r="C242" s="183" t="s">
        <v>716</v>
      </c>
      <c r="D242" s="183" t="s">
        <v>717</v>
      </c>
    </row>
    <row r="243" spans="3:4" x14ac:dyDescent="0.25">
      <c r="C243" s="183" t="s">
        <v>718</v>
      </c>
      <c r="D243" s="183" t="s">
        <v>719</v>
      </c>
    </row>
    <row r="244" spans="3:4" x14ac:dyDescent="0.25">
      <c r="C244" s="183" t="s">
        <v>720</v>
      </c>
      <c r="D244" s="183" t="s">
        <v>721</v>
      </c>
    </row>
    <row r="245" spans="3:4" x14ac:dyDescent="0.25">
      <c r="C245" s="183" t="s">
        <v>722</v>
      </c>
      <c r="D245" s="183" t="s">
        <v>723</v>
      </c>
    </row>
    <row r="246" spans="3:4" x14ac:dyDescent="0.25">
      <c r="C246" s="183" t="s">
        <v>724</v>
      </c>
      <c r="D246" s="183" t="s">
        <v>725</v>
      </c>
    </row>
    <row r="247" spans="3:4" x14ac:dyDescent="0.25">
      <c r="C247" s="183" t="s">
        <v>726</v>
      </c>
      <c r="D247" s="183" t="s">
        <v>727</v>
      </c>
    </row>
    <row r="248" spans="3:4" x14ac:dyDescent="0.25">
      <c r="C248" s="183" t="s">
        <v>728</v>
      </c>
      <c r="D248" s="183" t="s">
        <v>729</v>
      </c>
    </row>
    <row r="249" spans="3:4" x14ac:dyDescent="0.25">
      <c r="C249" s="183" t="s">
        <v>730</v>
      </c>
      <c r="D249" s="183" t="s">
        <v>731</v>
      </c>
    </row>
    <row r="250" spans="3:4" x14ac:dyDescent="0.25">
      <c r="C250" s="183" t="s">
        <v>732</v>
      </c>
      <c r="D250" s="183" t="s">
        <v>733</v>
      </c>
    </row>
    <row r="251" spans="3:4" x14ac:dyDescent="0.25">
      <c r="C251" s="183" t="s">
        <v>734</v>
      </c>
      <c r="D251" s="183" t="s">
        <v>735</v>
      </c>
    </row>
    <row r="252" spans="3:4" x14ac:dyDescent="0.25">
      <c r="C252" s="183" t="s">
        <v>736</v>
      </c>
      <c r="D252" s="183" t="s">
        <v>737</v>
      </c>
    </row>
    <row r="253" spans="3:4" x14ac:dyDescent="0.25">
      <c r="C253" s="183" t="s">
        <v>311</v>
      </c>
      <c r="D253" s="183" t="s">
        <v>738</v>
      </c>
    </row>
    <row r="254" spans="3:4" x14ac:dyDescent="0.25">
      <c r="C254" s="183" t="s">
        <v>739</v>
      </c>
      <c r="D254" s="183" t="s">
        <v>740</v>
      </c>
    </row>
    <row r="255" spans="3:4" x14ac:dyDescent="0.25">
      <c r="C255" s="183" t="s">
        <v>741</v>
      </c>
      <c r="D255" s="183" t="s">
        <v>742</v>
      </c>
    </row>
    <row r="256" spans="3:4" x14ac:dyDescent="0.25">
      <c r="C256" s="183" t="s">
        <v>743</v>
      </c>
      <c r="D256" s="183" t="s">
        <v>744</v>
      </c>
    </row>
    <row r="257" spans="3:4" x14ac:dyDescent="0.25">
      <c r="C257" s="183" t="s">
        <v>312</v>
      </c>
      <c r="D257" s="183" t="s">
        <v>745</v>
      </c>
    </row>
    <row r="258" spans="3:4" x14ac:dyDescent="0.25">
      <c r="C258" s="183" t="s">
        <v>746</v>
      </c>
      <c r="D258" s="183" t="s">
        <v>747</v>
      </c>
    </row>
    <row r="259" spans="3:4" x14ac:dyDescent="0.25">
      <c r="C259" s="183" t="s">
        <v>748</v>
      </c>
      <c r="D259" s="183" t="s">
        <v>749</v>
      </c>
    </row>
    <row r="260" spans="3:4" x14ac:dyDescent="0.25">
      <c r="C260" s="183" t="s">
        <v>750</v>
      </c>
      <c r="D260" s="183" t="s">
        <v>751</v>
      </c>
    </row>
    <row r="261" spans="3:4" x14ac:dyDescent="0.25">
      <c r="C261" s="183" t="s">
        <v>752</v>
      </c>
      <c r="D261" s="183" t="s">
        <v>753</v>
      </c>
    </row>
    <row r="262" spans="3:4" x14ac:dyDescent="0.25">
      <c r="C262" s="183" t="s">
        <v>754</v>
      </c>
      <c r="D262" s="183" t="s">
        <v>755</v>
      </c>
    </row>
    <row r="263" spans="3:4" x14ac:dyDescent="0.25">
      <c r="C263" s="183" t="s">
        <v>756</v>
      </c>
      <c r="D263" s="183" t="s">
        <v>757</v>
      </c>
    </row>
    <row r="264" spans="3:4" x14ac:dyDescent="0.25">
      <c r="C264" s="183" t="s">
        <v>758</v>
      </c>
      <c r="D264" s="183" t="s">
        <v>759</v>
      </c>
    </row>
    <row r="265" spans="3:4" x14ac:dyDescent="0.25">
      <c r="C265" s="183" t="s">
        <v>760</v>
      </c>
      <c r="D265" s="183" t="s">
        <v>761</v>
      </c>
    </row>
    <row r="266" spans="3:4" x14ac:dyDescent="0.25">
      <c r="C266" s="183" t="s">
        <v>762</v>
      </c>
      <c r="D266" s="183" t="s">
        <v>763</v>
      </c>
    </row>
    <row r="267" spans="3:4" x14ac:dyDescent="0.25">
      <c r="C267" s="183" t="s">
        <v>764</v>
      </c>
      <c r="D267" s="183" t="s">
        <v>765</v>
      </c>
    </row>
    <row r="268" spans="3:4" x14ac:dyDescent="0.25">
      <c r="C268" s="183" t="s">
        <v>766</v>
      </c>
      <c r="D268" s="183" t="s">
        <v>767</v>
      </c>
    </row>
    <row r="269" spans="3:4" x14ac:dyDescent="0.25">
      <c r="C269" s="183" t="s">
        <v>768</v>
      </c>
      <c r="D269" s="183" t="s">
        <v>769</v>
      </c>
    </row>
    <row r="270" spans="3:4" x14ac:dyDescent="0.25">
      <c r="C270" s="183" t="s">
        <v>770</v>
      </c>
      <c r="D270" s="183" t="s">
        <v>771</v>
      </c>
    </row>
    <row r="271" spans="3:4" x14ac:dyDescent="0.25">
      <c r="C271" s="183" t="s">
        <v>772</v>
      </c>
      <c r="D271" s="183" t="s">
        <v>773</v>
      </c>
    </row>
    <row r="272" spans="3:4" x14ac:dyDescent="0.25">
      <c r="C272" s="183" t="s">
        <v>774</v>
      </c>
      <c r="D272" s="183" t="s">
        <v>775</v>
      </c>
    </row>
    <row r="273" spans="3:4" x14ac:dyDescent="0.25">
      <c r="C273" s="183" t="s">
        <v>776</v>
      </c>
      <c r="D273" s="183" t="s">
        <v>777</v>
      </c>
    </row>
    <row r="274" spans="3:4" x14ac:dyDescent="0.25">
      <c r="C274" s="183" t="s">
        <v>778</v>
      </c>
      <c r="D274" s="183" t="s">
        <v>779</v>
      </c>
    </row>
    <row r="275" spans="3:4" x14ac:dyDescent="0.25">
      <c r="C275" s="183" t="s">
        <v>780</v>
      </c>
      <c r="D275" s="183" t="s">
        <v>781</v>
      </c>
    </row>
    <row r="276" spans="3:4" x14ac:dyDescent="0.25">
      <c r="C276" s="183" t="s">
        <v>782</v>
      </c>
      <c r="D276" s="183" t="s">
        <v>783</v>
      </c>
    </row>
    <row r="277" spans="3:4" x14ac:dyDescent="0.25">
      <c r="C277" s="183" t="s">
        <v>784</v>
      </c>
      <c r="D277" s="183" t="s">
        <v>785</v>
      </c>
    </row>
    <row r="278" spans="3:4" x14ac:dyDescent="0.25">
      <c r="C278" s="183" t="s">
        <v>786</v>
      </c>
      <c r="D278" s="183" t="s">
        <v>787</v>
      </c>
    </row>
    <row r="279" spans="3:4" x14ac:dyDescent="0.25">
      <c r="C279" s="183" t="s">
        <v>788</v>
      </c>
      <c r="D279" s="183" t="s">
        <v>789</v>
      </c>
    </row>
    <row r="280" spans="3:4" x14ac:dyDescent="0.25">
      <c r="C280" s="183" t="s">
        <v>790</v>
      </c>
      <c r="D280" s="183" t="s">
        <v>791</v>
      </c>
    </row>
    <row r="281" spans="3:4" x14ac:dyDescent="0.25">
      <c r="C281" s="183" t="s">
        <v>792</v>
      </c>
      <c r="D281" s="183" t="s">
        <v>793</v>
      </c>
    </row>
    <row r="282" spans="3:4" x14ac:dyDescent="0.25">
      <c r="C282" s="183" t="s">
        <v>794</v>
      </c>
      <c r="D282" s="183" t="s">
        <v>795</v>
      </c>
    </row>
    <row r="283" spans="3:4" x14ac:dyDescent="0.25">
      <c r="C283" s="183" t="s">
        <v>796</v>
      </c>
      <c r="D283" s="183" t="s">
        <v>797</v>
      </c>
    </row>
    <row r="284" spans="3:4" x14ac:dyDescent="0.25">
      <c r="C284" s="183" t="s">
        <v>798</v>
      </c>
      <c r="D284" s="183" t="s">
        <v>368</v>
      </c>
    </row>
    <row r="285" spans="3:4" x14ac:dyDescent="0.25">
      <c r="C285" s="183" t="s">
        <v>799</v>
      </c>
      <c r="D285" s="183" t="s">
        <v>800</v>
      </c>
    </row>
    <row r="286" spans="3:4" x14ac:dyDescent="0.25">
      <c r="C286" s="183" t="s">
        <v>801</v>
      </c>
      <c r="D286" s="183" t="s">
        <v>802</v>
      </c>
    </row>
    <row r="287" spans="3:4" x14ac:dyDescent="0.25">
      <c r="C287" s="183" t="s">
        <v>803</v>
      </c>
      <c r="D287" s="183" t="s">
        <v>804</v>
      </c>
    </row>
    <row r="288" spans="3:4" x14ac:dyDescent="0.25">
      <c r="C288" s="183" t="s">
        <v>805</v>
      </c>
      <c r="D288" s="183" t="s">
        <v>806</v>
      </c>
    </row>
    <row r="289" spans="3:4" x14ac:dyDescent="0.25">
      <c r="C289" s="183" t="s">
        <v>807</v>
      </c>
      <c r="D289" s="183" t="s">
        <v>808</v>
      </c>
    </row>
    <row r="290" spans="3:4" x14ac:dyDescent="0.25">
      <c r="C290" s="183" t="s">
        <v>809</v>
      </c>
      <c r="D290" s="183" t="s">
        <v>810</v>
      </c>
    </row>
    <row r="291" spans="3:4" x14ac:dyDescent="0.25">
      <c r="C291" s="183" t="s">
        <v>811</v>
      </c>
      <c r="D291" s="183" t="s">
        <v>812</v>
      </c>
    </row>
    <row r="292" spans="3:4" x14ac:dyDescent="0.25">
      <c r="C292" s="183" t="s">
        <v>813</v>
      </c>
      <c r="D292" s="183" t="s">
        <v>814</v>
      </c>
    </row>
    <row r="293" spans="3:4" x14ac:dyDescent="0.25">
      <c r="C293" s="183" t="s">
        <v>320</v>
      </c>
      <c r="D293" s="183" t="s">
        <v>815</v>
      </c>
    </row>
    <row r="294" spans="3:4" x14ac:dyDescent="0.25">
      <c r="C294" s="183" t="s">
        <v>319</v>
      </c>
      <c r="D294" s="183" t="s">
        <v>816</v>
      </c>
    </row>
    <row r="295" spans="3:4" x14ac:dyDescent="0.25">
      <c r="C295" s="183" t="s">
        <v>817</v>
      </c>
      <c r="D295" s="183" t="s">
        <v>818</v>
      </c>
    </row>
    <row r="296" spans="3:4" x14ac:dyDescent="0.25">
      <c r="C296" s="183" t="s">
        <v>819</v>
      </c>
      <c r="D296" s="183" t="s">
        <v>820</v>
      </c>
    </row>
    <row r="297" spans="3:4" x14ac:dyDescent="0.25">
      <c r="C297" s="183" t="s">
        <v>821</v>
      </c>
      <c r="D297" s="183" t="s">
        <v>822</v>
      </c>
    </row>
    <row r="298" spans="3:4" x14ac:dyDescent="0.25">
      <c r="C298" s="183" t="s">
        <v>823</v>
      </c>
      <c r="D298" s="183" t="s">
        <v>824</v>
      </c>
    </row>
    <row r="299" spans="3:4" x14ac:dyDescent="0.25">
      <c r="C299" s="183" t="s">
        <v>825</v>
      </c>
      <c r="D299" s="183" t="s">
        <v>826</v>
      </c>
    </row>
    <row r="300" spans="3:4" x14ac:dyDescent="0.25">
      <c r="C300" s="183" t="s">
        <v>827</v>
      </c>
      <c r="D300" s="183" t="s">
        <v>828</v>
      </c>
    </row>
    <row r="301" spans="3:4" x14ac:dyDescent="0.25">
      <c r="C301" s="183" t="s">
        <v>829</v>
      </c>
      <c r="D301" s="183" t="s">
        <v>830</v>
      </c>
    </row>
    <row r="302" spans="3:4" x14ac:dyDescent="0.25">
      <c r="C302" s="183" t="s">
        <v>831</v>
      </c>
      <c r="D302" s="183" t="s">
        <v>832</v>
      </c>
    </row>
    <row r="303" spans="3:4" x14ac:dyDescent="0.25">
      <c r="C303" s="183" t="s">
        <v>833</v>
      </c>
      <c r="D303" s="183" t="s">
        <v>834</v>
      </c>
    </row>
    <row r="304" spans="3:4" x14ac:dyDescent="0.25">
      <c r="C304" s="183" t="s">
        <v>835</v>
      </c>
      <c r="D304" s="183" t="s">
        <v>836</v>
      </c>
    </row>
    <row r="305" spans="3:4" x14ac:dyDescent="0.25">
      <c r="C305" s="183" t="s">
        <v>837</v>
      </c>
      <c r="D305" s="183" t="s">
        <v>838</v>
      </c>
    </row>
    <row r="306" spans="3:4" x14ac:dyDescent="0.25">
      <c r="C306" s="183" t="s">
        <v>839</v>
      </c>
      <c r="D306" s="183" t="s">
        <v>840</v>
      </c>
    </row>
    <row r="307" spans="3:4" x14ac:dyDescent="0.25">
      <c r="C307" s="183" t="s">
        <v>841</v>
      </c>
      <c r="D307" s="183" t="s">
        <v>842</v>
      </c>
    </row>
    <row r="308" spans="3:4" x14ac:dyDescent="0.25">
      <c r="C308" s="183" t="s">
        <v>843</v>
      </c>
      <c r="D308" s="183" t="s">
        <v>844</v>
      </c>
    </row>
    <row r="309" spans="3:4" x14ac:dyDescent="0.25">
      <c r="C309" s="183" t="s">
        <v>845</v>
      </c>
      <c r="D309" s="183" t="s">
        <v>846</v>
      </c>
    </row>
    <row r="310" spans="3:4" x14ac:dyDescent="0.25">
      <c r="C310" s="183" t="s">
        <v>847</v>
      </c>
      <c r="D310" s="183" t="s">
        <v>848</v>
      </c>
    </row>
    <row r="311" spans="3:4" x14ac:dyDescent="0.25">
      <c r="C311" s="183" t="s">
        <v>849</v>
      </c>
      <c r="D311" s="183" t="s">
        <v>850</v>
      </c>
    </row>
    <row r="312" spans="3:4" x14ac:dyDescent="0.25">
      <c r="C312" s="183" t="s">
        <v>322</v>
      </c>
      <c r="D312" s="183" t="s">
        <v>851</v>
      </c>
    </row>
    <row r="313" spans="3:4" x14ac:dyDescent="0.25">
      <c r="C313" s="183" t="s">
        <v>852</v>
      </c>
      <c r="D313" s="183" t="s">
        <v>853</v>
      </c>
    </row>
    <row r="314" spans="3:4" x14ac:dyDescent="0.25">
      <c r="C314" s="183" t="s">
        <v>854</v>
      </c>
      <c r="D314" s="183" t="s">
        <v>855</v>
      </c>
    </row>
    <row r="315" spans="3:4" x14ac:dyDescent="0.25">
      <c r="C315" s="183" t="s">
        <v>856</v>
      </c>
      <c r="D315" s="183" t="s">
        <v>857</v>
      </c>
    </row>
    <row r="316" spans="3:4" x14ac:dyDescent="0.25">
      <c r="C316" s="183" t="s">
        <v>858</v>
      </c>
      <c r="D316" s="183" t="s">
        <v>859</v>
      </c>
    </row>
    <row r="317" spans="3:4" x14ac:dyDescent="0.25">
      <c r="C317" s="183" t="s">
        <v>860</v>
      </c>
      <c r="D317" s="183" t="s">
        <v>861</v>
      </c>
    </row>
    <row r="318" spans="3:4" x14ac:dyDescent="0.25">
      <c r="C318" s="183" t="s">
        <v>862</v>
      </c>
      <c r="D318" s="183" t="s">
        <v>863</v>
      </c>
    </row>
    <row r="319" spans="3:4" x14ac:dyDescent="0.25">
      <c r="C319" s="183" t="s">
        <v>864</v>
      </c>
      <c r="D319" s="183" t="s">
        <v>865</v>
      </c>
    </row>
    <row r="320" spans="3:4" x14ac:dyDescent="0.25">
      <c r="C320" s="183" t="s">
        <v>866</v>
      </c>
      <c r="D320" s="183" t="s">
        <v>867</v>
      </c>
    </row>
    <row r="321" spans="3:4" x14ac:dyDescent="0.25">
      <c r="C321" s="183" t="s">
        <v>868</v>
      </c>
      <c r="D321" s="183" t="s">
        <v>869</v>
      </c>
    </row>
    <row r="322" spans="3:4" x14ac:dyDescent="0.25">
      <c r="C322" s="183" t="s">
        <v>870</v>
      </c>
      <c r="D322" s="183" t="s">
        <v>871</v>
      </c>
    </row>
    <row r="323" spans="3:4" x14ac:dyDescent="0.25">
      <c r="C323" s="183" t="s">
        <v>872</v>
      </c>
      <c r="D323" s="183" t="s">
        <v>873</v>
      </c>
    </row>
    <row r="324" spans="3:4" x14ac:dyDescent="0.25">
      <c r="C324" s="183" t="s">
        <v>874</v>
      </c>
      <c r="D324" s="183" t="s">
        <v>875</v>
      </c>
    </row>
    <row r="325" spans="3:4" x14ac:dyDescent="0.25">
      <c r="C325" s="183" t="s">
        <v>876</v>
      </c>
      <c r="D325" s="183" t="s">
        <v>877</v>
      </c>
    </row>
    <row r="326" spans="3:4" x14ac:dyDescent="0.25">
      <c r="C326" s="183" t="s">
        <v>878</v>
      </c>
      <c r="D326" s="183" t="s">
        <v>879</v>
      </c>
    </row>
    <row r="327" spans="3:4" x14ac:dyDescent="0.25">
      <c r="C327" s="183" t="s">
        <v>880</v>
      </c>
      <c r="D327" s="183" t="s">
        <v>881</v>
      </c>
    </row>
    <row r="328" spans="3:4" x14ac:dyDescent="0.25">
      <c r="C328" s="183" t="s">
        <v>882</v>
      </c>
      <c r="D328" s="183" t="s">
        <v>883</v>
      </c>
    </row>
    <row r="329" spans="3:4" x14ac:dyDescent="0.25">
      <c r="C329" s="183" t="s">
        <v>884</v>
      </c>
      <c r="D329" s="183" t="s">
        <v>885</v>
      </c>
    </row>
    <row r="330" spans="3:4" x14ac:dyDescent="0.25">
      <c r="C330" s="183" t="s">
        <v>886</v>
      </c>
      <c r="D330" s="183" t="s">
        <v>887</v>
      </c>
    </row>
    <row r="331" spans="3:4" x14ac:dyDescent="0.25">
      <c r="C331" s="183" t="s">
        <v>888</v>
      </c>
      <c r="D331" s="183" t="s">
        <v>889</v>
      </c>
    </row>
    <row r="332" spans="3:4" x14ac:dyDescent="0.25">
      <c r="C332" s="183" t="s">
        <v>890</v>
      </c>
      <c r="D332" s="183" t="s">
        <v>891</v>
      </c>
    </row>
    <row r="333" spans="3:4" x14ac:dyDescent="0.25">
      <c r="C333" s="183" t="s">
        <v>892</v>
      </c>
      <c r="D333" s="183" t="s">
        <v>893</v>
      </c>
    </row>
    <row r="334" spans="3:4" x14ac:dyDescent="0.25">
      <c r="C334" s="183" t="s">
        <v>894</v>
      </c>
      <c r="D334" s="183" t="s">
        <v>895</v>
      </c>
    </row>
    <row r="335" spans="3:4" x14ac:dyDescent="0.25">
      <c r="C335" s="183" t="s">
        <v>896</v>
      </c>
      <c r="D335" s="183" t="s">
        <v>240</v>
      </c>
    </row>
    <row r="336" spans="3:4" x14ac:dyDescent="0.25">
      <c r="C336" s="183" t="s">
        <v>897</v>
      </c>
      <c r="D336" s="183" t="s">
        <v>898</v>
      </c>
    </row>
    <row r="337" spans="3:4" x14ac:dyDescent="0.25">
      <c r="C337" s="183" t="s">
        <v>899</v>
      </c>
      <c r="D337" s="183" t="s">
        <v>900</v>
      </c>
    </row>
    <row r="338" spans="3:4" x14ac:dyDescent="0.25">
      <c r="C338" s="183" t="s">
        <v>901</v>
      </c>
      <c r="D338" s="183" t="s">
        <v>902</v>
      </c>
    </row>
    <row r="339" spans="3:4" x14ac:dyDescent="0.25">
      <c r="C339" s="183" t="s">
        <v>903</v>
      </c>
      <c r="D339" s="183" t="s">
        <v>904</v>
      </c>
    </row>
    <row r="340" spans="3:4" x14ac:dyDescent="0.25">
      <c r="C340" s="183" t="s">
        <v>905</v>
      </c>
      <c r="D340" s="183" t="s">
        <v>906</v>
      </c>
    </row>
    <row r="341" spans="3:4" x14ac:dyDescent="0.25">
      <c r="C341" s="183" t="s">
        <v>907</v>
      </c>
      <c r="D341" s="183" t="s">
        <v>908</v>
      </c>
    </row>
    <row r="342" spans="3:4" x14ac:dyDescent="0.25">
      <c r="C342" s="183" t="s">
        <v>909</v>
      </c>
      <c r="D342" s="183" t="s">
        <v>910</v>
      </c>
    </row>
    <row r="343" spans="3:4" x14ac:dyDescent="0.25">
      <c r="C343" s="183" t="s">
        <v>911</v>
      </c>
      <c r="D343" s="183" t="s">
        <v>912</v>
      </c>
    </row>
    <row r="344" spans="3:4" x14ac:dyDescent="0.25">
      <c r="C344" s="183" t="s">
        <v>318</v>
      </c>
      <c r="D344" s="183" t="s">
        <v>913</v>
      </c>
    </row>
    <row r="345" spans="3:4" x14ac:dyDescent="0.25">
      <c r="C345" s="183" t="s">
        <v>914</v>
      </c>
      <c r="D345" s="183" t="s">
        <v>915</v>
      </c>
    </row>
    <row r="346" spans="3:4" x14ac:dyDescent="0.25">
      <c r="C346" s="183" t="s">
        <v>916</v>
      </c>
      <c r="D346" s="183" t="s">
        <v>917</v>
      </c>
    </row>
    <row r="347" spans="3:4" x14ac:dyDescent="0.25">
      <c r="C347" s="183" t="s">
        <v>918</v>
      </c>
      <c r="D347" s="183" t="s">
        <v>919</v>
      </c>
    </row>
    <row r="348" spans="3:4" x14ac:dyDescent="0.25">
      <c r="C348" s="183" t="s">
        <v>920</v>
      </c>
      <c r="D348" s="183" t="s">
        <v>921</v>
      </c>
    </row>
    <row r="349" spans="3:4" x14ac:dyDescent="0.25">
      <c r="C349" s="183" t="s">
        <v>922</v>
      </c>
      <c r="D349" s="183" t="s">
        <v>923</v>
      </c>
    </row>
    <row r="350" spans="3:4" x14ac:dyDescent="0.25">
      <c r="C350" s="183" t="s">
        <v>924</v>
      </c>
      <c r="D350" s="183" t="s">
        <v>925</v>
      </c>
    </row>
    <row r="351" spans="3:4" x14ac:dyDescent="0.25">
      <c r="C351" s="183" t="s">
        <v>926</v>
      </c>
      <c r="D351" s="183" t="s">
        <v>927</v>
      </c>
    </row>
    <row r="352" spans="3:4" x14ac:dyDescent="0.25">
      <c r="C352" s="183" t="s">
        <v>928</v>
      </c>
      <c r="D352" s="183" t="s">
        <v>929</v>
      </c>
    </row>
    <row r="353" spans="3:4" x14ac:dyDescent="0.25">
      <c r="C353" s="183" t="s">
        <v>930</v>
      </c>
      <c r="D353" s="183" t="s">
        <v>931</v>
      </c>
    </row>
    <row r="354" spans="3:4" x14ac:dyDescent="0.25">
      <c r="C354" s="183" t="s">
        <v>932</v>
      </c>
      <c r="D354" s="183" t="s">
        <v>933</v>
      </c>
    </row>
    <row r="355" spans="3:4" x14ac:dyDescent="0.25">
      <c r="C355" s="183" t="s">
        <v>934</v>
      </c>
      <c r="D355" s="183" t="s">
        <v>46</v>
      </c>
    </row>
    <row r="356" spans="3:4" x14ac:dyDescent="0.25">
      <c r="C356" s="183" t="s">
        <v>935</v>
      </c>
      <c r="D356" s="183" t="s">
        <v>936</v>
      </c>
    </row>
    <row r="357" spans="3:4" x14ac:dyDescent="0.25">
      <c r="C357" s="183" t="s">
        <v>937</v>
      </c>
      <c r="D357" s="183" t="s">
        <v>45</v>
      </c>
    </row>
    <row r="358" spans="3:4" x14ac:dyDescent="0.25">
      <c r="C358" s="183" t="s">
        <v>938</v>
      </c>
      <c r="D358" s="183" t="s">
        <v>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82"/>
  <sheetViews>
    <sheetView tabSelected="1" topLeftCell="A72" zoomScale="85" zoomScaleNormal="85" workbookViewId="0">
      <selection activeCell="G24" sqref="G24"/>
    </sheetView>
  </sheetViews>
  <sheetFormatPr defaultRowHeight="14.4" x14ac:dyDescent="0.3"/>
  <cols>
    <col min="2" max="2" width="33.5546875" customWidth="1"/>
    <col min="3" max="3" width="35.6640625" style="34" bestFit="1" customWidth="1"/>
    <col min="4" max="4" width="28" style="34" customWidth="1"/>
    <col min="5" max="5" width="15.44140625" style="34" bestFit="1" customWidth="1"/>
    <col min="6" max="6" width="25.109375" style="34" bestFit="1" customWidth="1"/>
    <col min="7" max="7" width="17.5546875" style="34" bestFit="1" customWidth="1"/>
    <col min="8" max="8" width="27.44140625" bestFit="1" customWidth="1"/>
    <col min="9" max="9" width="37.33203125" bestFit="1" customWidth="1"/>
    <col min="10" max="10" width="34" bestFit="1" customWidth="1"/>
    <col min="11" max="11" width="22.5546875" style="5" customWidth="1"/>
    <col min="12" max="12" width="43.88671875" bestFit="1" customWidth="1"/>
    <col min="13" max="13" width="19.109375" customWidth="1"/>
    <col min="14" max="14" width="17" customWidth="1"/>
    <col min="15" max="15" width="17.109375" customWidth="1"/>
    <col min="16" max="16" width="17.5546875" customWidth="1"/>
    <col min="17" max="17" width="17.109375" customWidth="1"/>
    <col min="18" max="18" width="17.88671875" customWidth="1"/>
    <col min="19" max="19" width="17" customWidth="1"/>
    <col min="20" max="20" width="18.44140625" customWidth="1"/>
    <col min="21" max="21" width="17.5546875" customWidth="1"/>
    <col min="22" max="22" width="17.44140625" customWidth="1"/>
  </cols>
  <sheetData>
    <row r="1" spans="1:31" s="184" customFormat="1" x14ac:dyDescent="0.3">
      <c r="B1" s="184" t="s">
        <v>940</v>
      </c>
      <c r="C1" s="247" t="s">
        <v>1188</v>
      </c>
      <c r="D1" s="247" t="s">
        <v>1007</v>
      </c>
      <c r="E1" s="247" t="s">
        <v>941</v>
      </c>
      <c r="F1" s="247" t="s">
        <v>942</v>
      </c>
      <c r="G1" s="247" t="s">
        <v>943</v>
      </c>
      <c r="H1" s="184" t="s">
        <v>1</v>
      </c>
      <c r="I1" s="184" t="s">
        <v>944</v>
      </c>
      <c r="J1" s="184" t="s">
        <v>945</v>
      </c>
      <c r="K1" s="282" t="s">
        <v>946</v>
      </c>
      <c r="L1" s="184" t="s">
        <v>235</v>
      </c>
      <c r="M1" s="184" t="s">
        <v>947</v>
      </c>
      <c r="N1" s="184" t="s">
        <v>947</v>
      </c>
      <c r="O1" s="184" t="s">
        <v>947</v>
      </c>
      <c r="P1" s="184" t="s">
        <v>947</v>
      </c>
      <c r="Q1" s="184" t="s">
        <v>947</v>
      </c>
      <c r="R1" s="184" t="s">
        <v>947</v>
      </c>
      <c r="S1" s="184" t="s">
        <v>947</v>
      </c>
      <c r="T1" s="184" t="s">
        <v>947</v>
      </c>
      <c r="U1" s="184" t="s">
        <v>947</v>
      </c>
      <c r="V1" s="184" t="s">
        <v>947</v>
      </c>
    </row>
    <row r="2" spans="1:31" s="185" customFormat="1" x14ac:dyDescent="0.3">
      <c r="B2" s="186" t="s">
        <v>247</v>
      </c>
      <c r="C2" s="248"/>
      <c r="D2" s="248"/>
      <c r="E2" s="248"/>
      <c r="F2" s="248"/>
      <c r="G2" s="248"/>
      <c r="H2" s="187"/>
      <c r="I2" s="188"/>
      <c r="J2" s="188"/>
      <c r="K2" s="283"/>
      <c r="M2" s="189"/>
      <c r="N2" s="189"/>
      <c r="O2" s="189"/>
      <c r="P2" s="189"/>
      <c r="Q2" s="189"/>
      <c r="R2" s="189"/>
      <c r="S2" s="189"/>
      <c r="T2" s="189"/>
      <c r="U2" s="189"/>
      <c r="V2" s="189"/>
    </row>
    <row r="3" spans="1:31" s="190" customFormat="1" x14ac:dyDescent="0.3">
      <c r="A3" s="190">
        <v>1</v>
      </c>
      <c r="B3" s="191"/>
      <c r="C3" s="249"/>
      <c r="D3" s="249"/>
      <c r="E3" s="249"/>
      <c r="F3" s="249"/>
      <c r="G3" s="249"/>
      <c r="H3" s="192"/>
      <c r="I3" s="193"/>
      <c r="J3" s="193"/>
      <c r="K3" s="284"/>
      <c r="M3" s="106"/>
      <c r="N3" s="106"/>
      <c r="O3" s="106"/>
      <c r="P3" s="106"/>
      <c r="Q3" s="106"/>
      <c r="R3" s="106"/>
      <c r="S3" s="106"/>
      <c r="T3" s="106"/>
      <c r="U3" s="106"/>
      <c r="V3" s="106"/>
    </row>
    <row r="4" spans="1:31" s="190" customFormat="1" x14ac:dyDescent="0.3">
      <c r="A4" s="190">
        <v>2</v>
      </c>
      <c r="B4" s="191"/>
      <c r="C4" s="249"/>
      <c r="D4" s="249"/>
      <c r="E4" s="249"/>
      <c r="F4" s="249"/>
      <c r="G4" s="249"/>
      <c r="H4" s="192"/>
      <c r="I4" s="193"/>
      <c r="J4" s="193"/>
      <c r="K4" s="284"/>
      <c r="M4" s="106"/>
      <c r="N4" s="106"/>
      <c r="O4" s="106"/>
      <c r="P4" s="106"/>
      <c r="Q4" s="106"/>
      <c r="R4" s="106"/>
      <c r="S4" s="106"/>
      <c r="T4" s="106"/>
      <c r="U4" s="106"/>
      <c r="V4" s="106"/>
    </row>
    <row r="5" spans="1:31" s="190" customFormat="1" x14ac:dyDescent="0.3">
      <c r="A5" s="190">
        <v>3</v>
      </c>
      <c r="B5" s="191"/>
      <c r="C5" s="249"/>
      <c r="D5" s="249"/>
      <c r="E5" s="249"/>
      <c r="F5" s="249"/>
      <c r="G5" s="249"/>
      <c r="H5" s="192"/>
      <c r="I5" s="193"/>
      <c r="J5" s="193"/>
      <c r="K5" s="284"/>
      <c r="M5" s="106"/>
      <c r="N5" s="106"/>
      <c r="O5" s="106"/>
      <c r="P5" s="106"/>
      <c r="Q5" s="106"/>
      <c r="R5" s="106"/>
      <c r="S5" s="106"/>
      <c r="T5" s="106"/>
      <c r="U5" s="106"/>
      <c r="V5" s="106"/>
    </row>
    <row r="6" spans="1:31" s="190" customFormat="1" x14ac:dyDescent="0.3">
      <c r="A6" s="190">
        <v>4</v>
      </c>
      <c r="B6" s="191"/>
      <c r="C6" s="249"/>
      <c r="D6" s="249"/>
      <c r="E6" s="249"/>
      <c r="F6" s="249"/>
      <c r="G6" s="249"/>
      <c r="H6" s="192"/>
      <c r="I6" s="193"/>
      <c r="J6" s="193"/>
      <c r="K6" s="284"/>
      <c r="M6" s="106"/>
      <c r="N6" s="106"/>
      <c r="O6" s="106"/>
      <c r="P6" s="106"/>
      <c r="Q6" s="106"/>
      <c r="R6" s="106"/>
      <c r="S6" s="106"/>
      <c r="T6" s="106"/>
      <c r="U6" s="106"/>
      <c r="V6" s="106"/>
    </row>
    <row r="7" spans="1:31" s="194" customFormat="1" x14ac:dyDescent="0.3">
      <c r="A7" s="194">
        <v>5</v>
      </c>
      <c r="B7" s="195"/>
      <c r="C7" s="250"/>
      <c r="D7" s="250"/>
      <c r="E7" s="250"/>
      <c r="F7" s="250"/>
      <c r="G7" s="250"/>
      <c r="H7" s="196"/>
      <c r="I7" s="197"/>
      <c r="J7" s="197"/>
      <c r="K7" s="285"/>
      <c r="M7" s="198"/>
      <c r="N7" s="198"/>
      <c r="O7" s="198"/>
      <c r="P7" s="198"/>
      <c r="Q7" s="198"/>
      <c r="R7" s="198"/>
      <c r="S7" s="198"/>
      <c r="T7" s="198"/>
      <c r="U7" s="198"/>
      <c r="V7" s="198"/>
    </row>
    <row r="8" spans="1:31" s="185" customFormat="1" x14ac:dyDescent="0.3">
      <c r="B8" s="186" t="s">
        <v>248</v>
      </c>
      <c r="C8" s="248"/>
      <c r="D8" s="248"/>
      <c r="E8" s="248"/>
      <c r="F8" s="248"/>
      <c r="G8" s="248"/>
      <c r="I8" s="188"/>
      <c r="J8" s="188"/>
      <c r="K8" s="283"/>
      <c r="M8" s="189"/>
      <c r="N8" s="189"/>
      <c r="O8" s="189"/>
      <c r="P8" s="189"/>
      <c r="Q8" s="189"/>
      <c r="R8" s="189"/>
      <c r="S8" s="189"/>
      <c r="T8" s="189"/>
      <c r="U8" s="189"/>
      <c r="V8" s="189"/>
    </row>
    <row r="9" spans="1:31" s="190" customFormat="1" x14ac:dyDescent="0.3">
      <c r="A9" s="190">
        <v>1</v>
      </c>
      <c r="B9" s="191"/>
      <c r="C9" s="249"/>
      <c r="D9" s="249"/>
      <c r="E9" s="249"/>
      <c r="F9" s="249"/>
      <c r="G9" s="249"/>
      <c r="I9" s="193"/>
      <c r="J9" s="193"/>
      <c r="K9" s="284"/>
      <c r="M9" s="106"/>
      <c r="N9" s="106"/>
      <c r="O9" s="106"/>
      <c r="P9" s="106"/>
      <c r="Q9" s="106"/>
      <c r="R9" s="106"/>
      <c r="S9" s="106"/>
      <c r="T9" s="106"/>
      <c r="U9" s="106"/>
      <c r="V9" s="106"/>
    </row>
    <row r="10" spans="1:31" s="190" customFormat="1" x14ac:dyDescent="0.3">
      <c r="A10" s="190">
        <v>2</v>
      </c>
      <c r="B10" s="191"/>
      <c r="C10" s="249"/>
      <c r="D10" s="249"/>
      <c r="E10" s="249"/>
      <c r="F10" s="249"/>
      <c r="G10" s="249"/>
      <c r="I10" s="193"/>
      <c r="J10" s="193"/>
      <c r="K10" s="284"/>
      <c r="M10" s="106"/>
      <c r="N10" s="106"/>
      <c r="O10" s="106"/>
      <c r="P10" s="106"/>
      <c r="Q10" s="106"/>
      <c r="R10" s="106"/>
      <c r="S10" s="106"/>
      <c r="T10" s="106"/>
      <c r="U10" s="106"/>
      <c r="V10" s="106"/>
    </row>
    <row r="11" spans="1:31" s="190" customFormat="1" x14ac:dyDescent="0.3">
      <c r="A11" s="190">
        <v>3</v>
      </c>
      <c r="B11" s="191"/>
      <c r="C11" s="249"/>
      <c r="D11" s="249"/>
      <c r="E11" s="249"/>
      <c r="F11" s="249"/>
      <c r="G11" s="249"/>
      <c r="I11" s="193"/>
      <c r="J11" s="193"/>
      <c r="K11" s="284"/>
      <c r="M11" s="106"/>
      <c r="N11" s="106"/>
      <c r="O11" s="106"/>
      <c r="P11" s="106"/>
      <c r="Q11" s="106"/>
      <c r="R11" s="106"/>
      <c r="S11" s="106"/>
      <c r="T11" s="106"/>
      <c r="U11" s="106"/>
      <c r="V11" s="106"/>
    </row>
    <row r="12" spans="1:31" s="190" customFormat="1" x14ac:dyDescent="0.3">
      <c r="A12" s="190">
        <v>4</v>
      </c>
      <c r="B12" s="191"/>
      <c r="C12" s="249"/>
      <c r="D12" s="249"/>
      <c r="E12" s="249"/>
      <c r="F12" s="249"/>
      <c r="G12" s="249"/>
      <c r="I12" s="193"/>
      <c r="J12" s="193"/>
      <c r="K12" s="284"/>
      <c r="M12" s="106"/>
      <c r="N12" s="106"/>
      <c r="O12" s="106"/>
      <c r="P12" s="106"/>
      <c r="Q12" s="106"/>
      <c r="R12" s="106"/>
      <c r="S12" s="106"/>
      <c r="T12" s="106"/>
      <c r="U12" s="106"/>
      <c r="V12" s="106"/>
    </row>
    <row r="13" spans="1:31" s="194" customFormat="1" ht="15" thickBot="1" x14ac:dyDescent="0.35">
      <c r="A13" s="194">
        <v>5</v>
      </c>
      <c r="B13" s="195"/>
      <c r="C13" s="250"/>
      <c r="D13" s="250"/>
      <c r="E13" s="250"/>
      <c r="F13" s="250"/>
      <c r="G13" s="250"/>
      <c r="I13" s="197"/>
      <c r="J13" s="197"/>
      <c r="K13" s="285"/>
      <c r="M13" s="198"/>
      <c r="N13" s="198"/>
      <c r="O13" s="198"/>
      <c r="P13" s="198"/>
      <c r="Q13" s="198"/>
      <c r="R13" s="198"/>
      <c r="S13" s="198"/>
      <c r="T13" s="198"/>
      <c r="U13" s="198"/>
      <c r="V13" s="198"/>
    </row>
    <row r="14" spans="1:31" s="185" customFormat="1" ht="15" thickBot="1" x14ac:dyDescent="0.35">
      <c r="B14" s="186" t="s">
        <v>255</v>
      </c>
      <c r="C14" s="248"/>
      <c r="D14" s="248"/>
      <c r="E14" s="248"/>
      <c r="F14" s="274" t="s">
        <v>1246</v>
      </c>
      <c r="G14" s="275">
        <f>COUNTIF(G15:G26,"yes")</f>
        <v>5</v>
      </c>
      <c r="H14" s="188"/>
      <c r="I14" s="188"/>
      <c r="J14" s="188"/>
      <c r="K14" s="286"/>
      <c r="L14" s="188"/>
      <c r="M14" s="199"/>
      <c r="N14" s="199"/>
      <c r="O14" s="199"/>
      <c r="P14" s="199"/>
      <c r="Q14" s="200"/>
      <c r="R14" s="199"/>
      <c r="S14" s="201"/>
      <c r="T14" s="202"/>
      <c r="U14" s="199"/>
      <c r="V14" s="203"/>
      <c r="W14" s="204"/>
      <c r="X14" s="205"/>
      <c r="Y14" s="188"/>
      <c r="Z14" s="206"/>
      <c r="AA14" s="204"/>
      <c r="AB14" s="205"/>
      <c r="AC14" s="204"/>
      <c r="AD14" s="205"/>
      <c r="AE14" s="205"/>
    </row>
    <row r="15" spans="1:31" s="190" customFormat="1" x14ac:dyDescent="0.3">
      <c r="A15" s="243">
        <v>1</v>
      </c>
      <c r="B15" s="106" t="s">
        <v>952</v>
      </c>
      <c r="C15" s="251" t="s">
        <v>1177</v>
      </c>
      <c r="D15" s="256" t="s">
        <v>1009</v>
      </c>
      <c r="E15" s="258" t="s">
        <v>1177</v>
      </c>
      <c r="F15" s="273" t="s">
        <v>1038</v>
      </c>
      <c r="G15" s="273" t="s">
        <v>1177</v>
      </c>
      <c r="H15" s="193" t="s">
        <v>1013</v>
      </c>
      <c r="I15" s="239" t="s">
        <v>1014</v>
      </c>
      <c r="J15" s="193" t="s">
        <v>1015</v>
      </c>
      <c r="K15" s="281">
        <v>159921</v>
      </c>
      <c r="L15" s="193"/>
      <c r="M15" s="207" t="s">
        <v>1006</v>
      </c>
      <c r="N15" s="207"/>
      <c r="O15" s="207"/>
      <c r="P15" s="207"/>
      <c r="Q15" s="208"/>
      <c r="R15" s="207"/>
      <c r="S15" s="107"/>
      <c r="T15" s="209"/>
      <c r="U15" s="207"/>
      <c r="V15" s="210"/>
      <c r="W15" s="211"/>
      <c r="X15" s="212"/>
      <c r="Y15" s="193"/>
      <c r="Z15" s="213"/>
      <c r="AA15" s="211"/>
      <c r="AB15" s="212"/>
      <c r="AC15" s="211"/>
      <c r="AD15" s="212"/>
      <c r="AE15" s="212"/>
    </row>
    <row r="16" spans="1:31" s="190" customFormat="1" x14ac:dyDescent="0.3">
      <c r="A16" s="243">
        <v>2</v>
      </c>
      <c r="B16" s="106" t="s">
        <v>953</v>
      </c>
      <c r="C16" s="251" t="s">
        <v>1177</v>
      </c>
      <c r="D16" s="256" t="s">
        <v>1009</v>
      </c>
      <c r="E16" s="258" t="s">
        <v>1177</v>
      </c>
      <c r="F16" s="258" t="s">
        <v>1038</v>
      </c>
      <c r="G16" s="258" t="s">
        <v>1038</v>
      </c>
      <c r="H16" s="193" t="s">
        <v>1262</v>
      </c>
      <c r="I16" s="239" t="s">
        <v>1260</v>
      </c>
      <c r="J16" s="193" t="s">
        <v>1261</v>
      </c>
      <c r="K16" s="281"/>
      <c r="L16" s="193" t="s">
        <v>1259</v>
      </c>
      <c r="M16" s="207" t="s">
        <v>1006</v>
      </c>
      <c r="N16" s="207"/>
      <c r="O16" s="207"/>
      <c r="P16" s="207"/>
      <c r="Q16" s="208"/>
      <c r="R16" s="207"/>
      <c r="S16" s="107"/>
      <c r="T16" s="209"/>
      <c r="U16" s="207"/>
      <c r="V16" s="210"/>
      <c r="W16" s="211"/>
      <c r="X16" s="212"/>
      <c r="Y16" s="193"/>
      <c r="Z16" s="213"/>
      <c r="AA16" s="211"/>
      <c r="AB16" s="212"/>
      <c r="AC16" s="211"/>
      <c r="AD16" s="212"/>
      <c r="AE16" s="212"/>
    </row>
    <row r="17" spans="1:31" s="190" customFormat="1" x14ac:dyDescent="0.3">
      <c r="A17" s="121">
        <v>3</v>
      </c>
      <c r="B17" s="106" t="s">
        <v>954</v>
      </c>
      <c r="C17" s="251" t="s">
        <v>1038</v>
      </c>
      <c r="D17" s="256" t="s">
        <v>1009</v>
      </c>
      <c r="E17" s="258" t="s">
        <v>1038</v>
      </c>
      <c r="F17" s="258" t="s">
        <v>1178</v>
      </c>
      <c r="G17" s="258" t="s">
        <v>1177</v>
      </c>
      <c r="H17" s="193" t="s">
        <v>1020</v>
      </c>
      <c r="I17" s="239" t="s">
        <v>1022</v>
      </c>
      <c r="J17" s="193" t="s">
        <v>1021</v>
      </c>
      <c r="K17" s="281">
        <v>544500</v>
      </c>
      <c r="L17" s="193" t="s">
        <v>1198</v>
      </c>
      <c r="M17" s="207" t="s">
        <v>1006</v>
      </c>
      <c r="N17" s="207"/>
      <c r="O17" s="207"/>
      <c r="P17" s="207"/>
      <c r="Q17" s="208"/>
      <c r="R17" s="207"/>
      <c r="S17" s="107"/>
      <c r="T17" s="209"/>
      <c r="U17" s="207"/>
      <c r="V17" s="210"/>
      <c r="W17" s="211"/>
      <c r="X17" s="212"/>
      <c r="Y17" s="193"/>
      <c r="Z17" s="213"/>
      <c r="AA17" s="211"/>
      <c r="AB17" s="212"/>
      <c r="AC17" s="211"/>
      <c r="AD17" s="212"/>
      <c r="AE17" s="212"/>
    </row>
    <row r="18" spans="1:31" s="190" customFormat="1" x14ac:dyDescent="0.3">
      <c r="A18" s="243">
        <v>4</v>
      </c>
      <c r="B18" s="106" t="s">
        <v>955</v>
      </c>
      <c r="C18" s="251" t="s">
        <v>1189</v>
      </c>
      <c r="D18" s="256" t="s">
        <v>1009</v>
      </c>
      <c r="E18" s="258" t="s">
        <v>1177</v>
      </c>
      <c r="F18" s="258" t="s">
        <v>1178</v>
      </c>
      <c r="G18" s="258" t="s">
        <v>1038</v>
      </c>
      <c r="H18" s="193" t="s">
        <v>1017</v>
      </c>
      <c r="I18" s="239" t="s">
        <v>1018</v>
      </c>
      <c r="J18" s="193" t="s">
        <v>1019</v>
      </c>
      <c r="K18" s="281"/>
      <c r="L18" s="193" t="s">
        <v>1268</v>
      </c>
      <c r="M18" s="207" t="s">
        <v>1006</v>
      </c>
      <c r="N18" s="207"/>
      <c r="O18" s="207"/>
      <c r="P18" s="207"/>
      <c r="Q18" s="208"/>
      <c r="R18" s="207"/>
      <c r="S18" s="107"/>
      <c r="T18" s="209"/>
      <c r="U18" s="207"/>
      <c r="V18" s="210"/>
      <c r="W18" s="211"/>
      <c r="X18" s="212"/>
      <c r="Y18" s="193"/>
      <c r="Z18" s="213"/>
      <c r="AA18" s="211"/>
      <c r="AB18" s="212"/>
      <c r="AC18" s="211"/>
      <c r="AD18" s="212"/>
      <c r="AE18" s="212"/>
    </row>
    <row r="19" spans="1:31" s="194" customFormat="1" x14ac:dyDescent="0.3">
      <c r="A19" s="244">
        <v>5</v>
      </c>
      <c r="B19" s="198" t="s">
        <v>956</v>
      </c>
      <c r="C19" s="252" t="s">
        <v>1038</v>
      </c>
      <c r="D19" s="257" t="s">
        <v>1008</v>
      </c>
      <c r="E19" s="258" t="s">
        <v>1177</v>
      </c>
      <c r="F19" s="258" t="s">
        <v>1178</v>
      </c>
      <c r="G19" s="258" t="s">
        <v>1038</v>
      </c>
      <c r="H19" s="197" t="s">
        <v>1023</v>
      </c>
      <c r="I19" s="240" t="s">
        <v>1024</v>
      </c>
      <c r="J19" s="197" t="s">
        <v>1025</v>
      </c>
      <c r="K19" s="280"/>
      <c r="L19" s="197" t="s">
        <v>1267</v>
      </c>
      <c r="M19" s="207" t="s">
        <v>1006</v>
      </c>
      <c r="N19" s="214"/>
      <c r="O19" s="214"/>
      <c r="P19" s="214"/>
      <c r="Q19" s="215"/>
      <c r="R19" s="214"/>
      <c r="S19" s="216"/>
      <c r="T19" s="217"/>
      <c r="U19" s="214"/>
      <c r="V19" s="218"/>
      <c r="W19" s="219"/>
      <c r="X19" s="220"/>
      <c r="Y19" s="197"/>
      <c r="Z19" s="221"/>
      <c r="AA19" s="219"/>
      <c r="AB19" s="220"/>
      <c r="AC19" s="219"/>
      <c r="AD19" s="220"/>
      <c r="AE19" s="220"/>
    </row>
    <row r="20" spans="1:31" s="194" customFormat="1" x14ac:dyDescent="0.3">
      <c r="A20" s="244">
        <v>6</v>
      </c>
      <c r="B20" s="198" t="s">
        <v>957</v>
      </c>
      <c r="C20" s="252" t="s">
        <v>1038</v>
      </c>
      <c r="D20" s="257" t="s">
        <v>1009</v>
      </c>
      <c r="E20" s="258" t="s">
        <v>1038</v>
      </c>
      <c r="F20" s="258" t="s">
        <v>1178</v>
      </c>
      <c r="G20" s="258" t="s">
        <v>1177</v>
      </c>
      <c r="H20" s="197" t="s">
        <v>1026</v>
      </c>
      <c r="I20" s="240" t="s">
        <v>1027</v>
      </c>
      <c r="J20" s="197" t="s">
        <v>1028</v>
      </c>
      <c r="K20" s="280">
        <v>146000</v>
      </c>
      <c r="L20" s="197" t="s">
        <v>1257</v>
      </c>
      <c r="M20" s="207" t="s">
        <v>1006</v>
      </c>
      <c r="N20" s="214"/>
      <c r="O20" s="214"/>
      <c r="P20" s="214"/>
      <c r="Q20" s="215"/>
      <c r="R20" s="214"/>
      <c r="S20" s="216"/>
      <c r="T20" s="217"/>
      <c r="U20" s="214"/>
      <c r="V20" s="218"/>
      <c r="W20" s="219"/>
      <c r="X20" s="220"/>
      <c r="Y20" s="197"/>
      <c r="Z20" s="221"/>
      <c r="AA20" s="219"/>
      <c r="AB20" s="220"/>
      <c r="AC20" s="219"/>
      <c r="AD20" s="220"/>
      <c r="AE20" s="220"/>
    </row>
    <row r="21" spans="1:31" s="194" customFormat="1" x14ac:dyDescent="0.3">
      <c r="A21" s="244">
        <v>7</v>
      </c>
      <c r="B21" s="198" t="s">
        <v>958</v>
      </c>
      <c r="C21" s="252" t="s">
        <v>1038</v>
      </c>
      <c r="D21" s="257" t="s">
        <v>1009</v>
      </c>
      <c r="E21" s="258" t="s">
        <v>1038</v>
      </c>
      <c r="F21" s="258" t="s">
        <v>1179</v>
      </c>
      <c r="G21" s="258" t="s">
        <v>1038</v>
      </c>
      <c r="H21" s="197" t="s">
        <v>1029</v>
      </c>
      <c r="I21" s="240" t="s">
        <v>1030</v>
      </c>
      <c r="J21" s="197" t="s">
        <v>1031</v>
      </c>
      <c r="K21" s="280"/>
      <c r="L21" s="197" t="s">
        <v>1264</v>
      </c>
      <c r="M21" s="207" t="s">
        <v>1006</v>
      </c>
      <c r="N21" s="214"/>
      <c r="O21" s="214"/>
      <c r="P21" s="214"/>
      <c r="Q21" s="215"/>
      <c r="R21" s="214"/>
      <c r="S21" s="216"/>
      <c r="T21" s="217"/>
      <c r="U21" s="214"/>
      <c r="V21" s="218"/>
      <c r="W21" s="219"/>
      <c r="X21" s="220"/>
      <c r="Y21" s="197"/>
      <c r="Z21" s="221"/>
      <c r="AA21" s="219"/>
      <c r="AB21" s="220"/>
      <c r="AC21" s="219"/>
      <c r="AD21" s="220"/>
      <c r="AE21" s="220"/>
    </row>
    <row r="22" spans="1:31" s="194" customFormat="1" x14ac:dyDescent="0.3">
      <c r="A22" s="244">
        <v>8</v>
      </c>
      <c r="B22" s="198" t="s">
        <v>959</v>
      </c>
      <c r="C22" s="252" t="s">
        <v>1038</v>
      </c>
      <c r="D22" s="257" t="s">
        <v>1011</v>
      </c>
      <c r="E22" s="258" t="s">
        <v>1038</v>
      </c>
      <c r="F22" s="258" t="s">
        <v>1178</v>
      </c>
      <c r="G22" s="258" t="s">
        <v>1038</v>
      </c>
      <c r="H22" s="197" t="s">
        <v>1032</v>
      </c>
      <c r="I22" s="240" t="s">
        <v>1034</v>
      </c>
      <c r="J22" s="197" t="s">
        <v>1033</v>
      </c>
      <c r="K22" s="280"/>
      <c r="L22" s="197" t="s">
        <v>1191</v>
      </c>
      <c r="M22" s="207" t="s">
        <v>1006</v>
      </c>
      <c r="N22" s="214"/>
      <c r="O22" s="214"/>
      <c r="P22" s="214"/>
      <c r="Q22" s="215"/>
      <c r="R22" s="214"/>
      <c r="S22" s="216"/>
      <c r="T22" s="217"/>
      <c r="U22" s="214"/>
      <c r="V22" s="218"/>
      <c r="W22" s="219"/>
      <c r="X22" s="220"/>
      <c r="Y22" s="197"/>
      <c r="Z22" s="221"/>
      <c r="AA22" s="219"/>
      <c r="AB22" s="220"/>
      <c r="AC22" s="219"/>
      <c r="AD22" s="220"/>
      <c r="AE22" s="220"/>
    </row>
    <row r="23" spans="1:31" s="194" customFormat="1" x14ac:dyDescent="0.3">
      <c r="A23" s="244">
        <v>9</v>
      </c>
      <c r="B23" s="198" t="s">
        <v>960</v>
      </c>
      <c r="C23" s="252" t="s">
        <v>1038</v>
      </c>
      <c r="D23" s="257" t="s">
        <v>1008</v>
      </c>
      <c r="E23" s="258" t="s">
        <v>1038</v>
      </c>
      <c r="F23" s="258" t="s">
        <v>1179</v>
      </c>
      <c r="G23" s="258" t="s">
        <v>1038</v>
      </c>
      <c r="H23" s="197" t="s">
        <v>1035</v>
      </c>
      <c r="I23" s="240" t="s">
        <v>1036</v>
      </c>
      <c r="J23" s="197" t="s">
        <v>1037</v>
      </c>
      <c r="K23" s="280"/>
      <c r="L23" s="197" t="s">
        <v>1263</v>
      </c>
      <c r="M23" s="207" t="s">
        <v>1006</v>
      </c>
      <c r="N23" s="214"/>
      <c r="O23" s="214"/>
      <c r="P23" s="214"/>
      <c r="Q23" s="215"/>
      <c r="R23" s="214"/>
      <c r="S23" s="216"/>
      <c r="T23" s="217"/>
      <c r="U23" s="214"/>
      <c r="V23" s="218"/>
      <c r="W23" s="219"/>
      <c r="X23" s="220"/>
      <c r="Y23" s="197"/>
      <c r="Z23" s="221"/>
      <c r="AA23" s="219"/>
      <c r="AB23" s="220"/>
      <c r="AC23" s="219"/>
      <c r="AD23" s="220"/>
      <c r="AE23" s="220"/>
    </row>
    <row r="24" spans="1:31" s="194" customFormat="1" x14ac:dyDescent="0.3">
      <c r="A24" s="244">
        <v>10</v>
      </c>
      <c r="B24" s="198" t="s">
        <v>961</v>
      </c>
      <c r="C24" s="252" t="s">
        <v>1038</v>
      </c>
      <c r="D24" s="256" t="s">
        <v>1009</v>
      </c>
      <c r="E24" s="258" t="s">
        <v>1038</v>
      </c>
      <c r="F24" s="258" t="s">
        <v>1178</v>
      </c>
      <c r="G24" s="258" t="s">
        <v>1177</v>
      </c>
      <c r="H24" s="197" t="s">
        <v>1247</v>
      </c>
      <c r="I24" s="240" t="s">
        <v>1248</v>
      </c>
      <c r="J24" s="197" t="s">
        <v>1249</v>
      </c>
      <c r="K24" s="290">
        <v>127755</v>
      </c>
      <c r="L24" s="197"/>
      <c r="M24" s="207" t="s">
        <v>1006</v>
      </c>
      <c r="N24" s="214"/>
      <c r="O24" s="214"/>
      <c r="P24" s="214"/>
      <c r="Q24" s="215"/>
      <c r="R24" s="214"/>
      <c r="S24" s="216"/>
      <c r="T24" s="217"/>
      <c r="U24" s="214"/>
      <c r="V24" s="218"/>
      <c r="W24" s="219"/>
      <c r="X24" s="220"/>
      <c r="Y24" s="197"/>
      <c r="Z24" s="221"/>
      <c r="AA24" s="219"/>
      <c r="AB24" s="220"/>
      <c r="AC24" s="219"/>
      <c r="AD24" s="220"/>
      <c r="AE24" s="220"/>
    </row>
    <row r="25" spans="1:31" s="194" customFormat="1" x14ac:dyDescent="0.3">
      <c r="A25" s="244">
        <v>11</v>
      </c>
      <c r="B25" s="198" t="s">
        <v>977</v>
      </c>
      <c r="C25" s="252" t="s">
        <v>1038</v>
      </c>
      <c r="D25" s="256" t="s">
        <v>1009</v>
      </c>
      <c r="E25" s="258" t="s">
        <v>1177</v>
      </c>
      <c r="F25" s="258" t="s">
        <v>1178</v>
      </c>
      <c r="G25" s="258" t="s">
        <v>1177</v>
      </c>
      <c r="H25" s="194" t="s">
        <v>1137</v>
      </c>
      <c r="I25" s="240" t="s">
        <v>1138</v>
      </c>
      <c r="J25" s="197" t="s">
        <v>1139</v>
      </c>
      <c r="K25" s="290">
        <v>129358.25</v>
      </c>
      <c r="L25" s="227" t="s">
        <v>1245</v>
      </c>
      <c r="M25" s="207"/>
      <c r="N25" s="214"/>
      <c r="O25" s="214"/>
      <c r="P25" s="214"/>
      <c r="Q25" s="215"/>
      <c r="R25" s="214"/>
      <c r="S25" s="216"/>
      <c r="T25" s="217"/>
      <c r="U25" s="214"/>
      <c r="V25" s="218"/>
      <c r="W25" s="219"/>
      <c r="X25" s="220"/>
      <c r="Y25" s="197"/>
      <c r="Z25" s="221"/>
      <c r="AA25" s="219"/>
      <c r="AB25" s="220"/>
      <c r="AC25" s="219"/>
      <c r="AD25" s="220"/>
      <c r="AE25" s="220"/>
    </row>
    <row r="26" spans="1:31" s="194" customFormat="1" x14ac:dyDescent="0.3">
      <c r="A26" s="243">
        <v>12</v>
      </c>
      <c r="B26" s="106" t="s">
        <v>1180</v>
      </c>
      <c r="C26" s="251" t="s">
        <v>1189</v>
      </c>
      <c r="D26" s="258" t="s">
        <v>1009</v>
      </c>
      <c r="E26" s="258" t="s">
        <v>1177</v>
      </c>
      <c r="F26" s="258" t="s">
        <v>1179</v>
      </c>
      <c r="G26" s="258" t="s">
        <v>1038</v>
      </c>
      <c r="H26" s="197" t="s">
        <v>1181</v>
      </c>
      <c r="I26" s="240" t="s">
        <v>1182</v>
      </c>
      <c r="J26" s="197"/>
      <c r="K26" s="280"/>
      <c r="L26" s="197" t="s">
        <v>1273</v>
      </c>
      <c r="M26" s="207" t="s">
        <v>1006</v>
      </c>
      <c r="N26" s="214"/>
      <c r="O26" s="214"/>
      <c r="P26" s="214"/>
      <c r="Q26" s="215"/>
      <c r="R26" s="214"/>
      <c r="S26" s="216"/>
      <c r="T26" s="217"/>
      <c r="U26" s="214"/>
      <c r="V26" s="218"/>
      <c r="W26" s="219"/>
      <c r="X26" s="220"/>
      <c r="Y26" s="197"/>
      <c r="Z26" s="221"/>
      <c r="AA26" s="219"/>
      <c r="AB26" s="220"/>
      <c r="AC26" s="219"/>
      <c r="AD26" s="220"/>
      <c r="AE26" s="220"/>
    </row>
    <row r="27" spans="1:31" s="185" customFormat="1" x14ac:dyDescent="0.3">
      <c r="B27" s="186" t="s">
        <v>260</v>
      </c>
      <c r="C27" s="248"/>
      <c r="D27" s="248"/>
      <c r="E27" s="248"/>
      <c r="F27" s="248"/>
      <c r="G27" s="248"/>
      <c r="H27" s="188"/>
      <c r="I27" s="188"/>
      <c r="J27" s="188"/>
      <c r="K27" s="283"/>
      <c r="L27" s="188"/>
      <c r="M27" s="199"/>
      <c r="N27" s="199"/>
      <c r="O27" s="199"/>
      <c r="P27" s="199"/>
      <c r="Q27" s="200"/>
      <c r="R27" s="199"/>
      <c r="S27" s="201"/>
      <c r="T27" s="202"/>
      <c r="U27" s="199"/>
      <c r="V27" s="203"/>
      <c r="W27" s="204"/>
      <c r="X27" s="205"/>
      <c r="Y27" s="188"/>
      <c r="Z27" s="206"/>
      <c r="AA27" s="204"/>
      <c r="AB27" s="205"/>
      <c r="AC27" s="204"/>
      <c r="AD27" s="205"/>
      <c r="AE27" s="205"/>
    </row>
    <row r="28" spans="1:31" s="190" customFormat="1" x14ac:dyDescent="0.3">
      <c r="A28" s="190">
        <v>1</v>
      </c>
      <c r="B28" s="191"/>
      <c r="C28" s="249"/>
      <c r="D28" s="249"/>
      <c r="E28" s="249"/>
      <c r="F28" s="249"/>
      <c r="G28" s="249"/>
      <c r="H28" s="193"/>
      <c r="I28" s="193"/>
      <c r="J28" s="193"/>
      <c r="K28" s="284"/>
      <c r="L28" s="193"/>
      <c r="M28" s="207"/>
      <c r="N28" s="207"/>
      <c r="O28" s="207"/>
      <c r="P28" s="207"/>
      <c r="Q28" s="208"/>
      <c r="R28" s="207"/>
      <c r="S28" s="107"/>
      <c r="T28" s="209"/>
      <c r="U28" s="207"/>
      <c r="V28" s="210"/>
      <c r="W28" s="211"/>
      <c r="X28" s="212"/>
      <c r="Y28" s="193"/>
      <c r="Z28" s="213"/>
      <c r="AA28" s="211"/>
      <c r="AB28" s="212"/>
      <c r="AC28" s="211"/>
      <c r="AD28" s="212"/>
      <c r="AE28" s="212"/>
    </row>
    <row r="29" spans="1:31" s="190" customFormat="1" x14ac:dyDescent="0.3">
      <c r="A29" s="190">
        <v>2</v>
      </c>
      <c r="B29" s="191"/>
      <c r="C29" s="249"/>
      <c r="D29" s="249"/>
      <c r="E29" s="249"/>
      <c r="F29" s="249"/>
      <c r="G29" s="249"/>
      <c r="H29" s="193"/>
      <c r="I29" s="193"/>
      <c r="J29" s="193"/>
      <c r="K29" s="284"/>
      <c r="L29" s="193"/>
      <c r="M29" s="207"/>
      <c r="N29" s="207"/>
      <c r="O29" s="207"/>
      <c r="P29" s="207"/>
      <c r="Q29" s="208"/>
      <c r="R29" s="207"/>
      <c r="S29" s="107"/>
      <c r="T29" s="209"/>
      <c r="U29" s="207"/>
      <c r="V29" s="210"/>
      <c r="W29" s="211"/>
      <c r="X29" s="212"/>
      <c r="Y29" s="193"/>
      <c r="Z29" s="213"/>
      <c r="AA29" s="211"/>
      <c r="AB29" s="212"/>
      <c r="AC29" s="211"/>
      <c r="AD29" s="212"/>
      <c r="AE29" s="212"/>
    </row>
    <row r="30" spans="1:31" s="190" customFormat="1" x14ac:dyDescent="0.3">
      <c r="A30" s="190">
        <v>3</v>
      </c>
      <c r="B30" s="191"/>
      <c r="C30" s="249"/>
      <c r="D30" s="249"/>
      <c r="E30" s="249"/>
      <c r="F30" s="249"/>
      <c r="G30" s="249"/>
      <c r="H30" s="193"/>
      <c r="I30" s="193"/>
      <c r="J30" s="193"/>
      <c r="K30" s="284"/>
      <c r="L30" s="193"/>
      <c r="M30" s="207"/>
      <c r="N30" s="207"/>
      <c r="O30" s="207"/>
      <c r="P30" s="207"/>
      <c r="Q30" s="208"/>
      <c r="R30" s="207"/>
      <c r="S30" s="107"/>
      <c r="T30" s="209"/>
      <c r="U30" s="207"/>
      <c r="V30" s="210"/>
      <c r="W30" s="211"/>
      <c r="X30" s="212"/>
      <c r="Y30" s="193"/>
      <c r="Z30" s="213"/>
      <c r="AA30" s="211"/>
      <c r="AB30" s="212"/>
      <c r="AC30" s="211"/>
      <c r="AD30" s="212"/>
      <c r="AE30" s="212"/>
    </row>
    <row r="31" spans="1:31" s="190" customFormat="1" x14ac:dyDescent="0.3">
      <c r="A31" s="190">
        <v>4</v>
      </c>
      <c r="B31" s="191"/>
      <c r="C31" s="249"/>
      <c r="D31" s="249"/>
      <c r="E31" s="249"/>
      <c r="F31" s="249"/>
      <c r="G31" s="249"/>
      <c r="H31" s="193"/>
      <c r="I31" s="193"/>
      <c r="J31" s="193"/>
      <c r="K31" s="284"/>
      <c r="L31" s="193"/>
      <c r="M31" s="207"/>
      <c r="N31" s="207"/>
      <c r="O31" s="207"/>
      <c r="P31" s="207"/>
      <c r="Q31" s="208"/>
      <c r="R31" s="207"/>
      <c r="S31" s="107"/>
      <c r="T31" s="209"/>
      <c r="U31" s="207"/>
      <c r="V31" s="210"/>
      <c r="W31" s="211"/>
      <c r="X31" s="212"/>
      <c r="Y31" s="193"/>
      <c r="Z31" s="213"/>
      <c r="AA31" s="211"/>
      <c r="AB31" s="212"/>
      <c r="AC31" s="211"/>
      <c r="AD31" s="212"/>
      <c r="AE31" s="212"/>
    </row>
    <row r="32" spans="1:31" s="194" customFormat="1" x14ac:dyDescent="0.3">
      <c r="A32" s="194">
        <v>5</v>
      </c>
      <c r="B32" s="195"/>
      <c r="C32" s="250"/>
      <c r="D32" s="250"/>
      <c r="E32" s="250"/>
      <c r="F32" s="250"/>
      <c r="G32" s="250"/>
      <c r="H32" s="197"/>
      <c r="I32" s="197"/>
      <c r="J32" s="197"/>
      <c r="K32" s="285"/>
      <c r="L32" s="197"/>
      <c r="M32" s="214"/>
      <c r="N32" s="214"/>
      <c r="O32" s="214"/>
      <c r="P32" s="214"/>
      <c r="Q32" s="215"/>
      <c r="R32" s="214"/>
      <c r="S32" s="216"/>
      <c r="T32" s="217"/>
      <c r="U32" s="214"/>
      <c r="V32" s="218"/>
      <c r="W32" s="219"/>
      <c r="X32" s="220"/>
      <c r="Y32" s="197"/>
      <c r="Z32" s="221"/>
      <c r="AA32" s="219"/>
      <c r="AB32" s="220"/>
      <c r="AC32" s="219"/>
      <c r="AD32" s="220"/>
      <c r="AE32" s="220"/>
    </row>
    <row r="33" spans="1:31" s="185" customFormat="1" x14ac:dyDescent="0.3">
      <c r="B33" s="186" t="s">
        <v>262</v>
      </c>
      <c r="C33" s="248"/>
      <c r="D33" s="248"/>
      <c r="E33" s="248"/>
      <c r="F33" s="248"/>
      <c r="G33" s="248"/>
      <c r="I33" s="188"/>
      <c r="J33" s="188"/>
      <c r="K33" s="286"/>
      <c r="L33" s="188"/>
      <c r="M33" s="199"/>
      <c r="N33" s="199"/>
      <c r="O33" s="199"/>
      <c r="P33" s="199"/>
      <c r="Q33" s="200"/>
      <c r="R33" s="199"/>
      <c r="S33" s="201"/>
      <c r="T33" s="202"/>
      <c r="U33" s="199"/>
      <c r="V33" s="203"/>
      <c r="W33" s="204"/>
      <c r="X33" s="205"/>
      <c r="Y33" s="188"/>
      <c r="Z33" s="206"/>
      <c r="AA33" s="204"/>
      <c r="AB33" s="205"/>
      <c r="AC33" s="204"/>
      <c r="AD33" s="205"/>
      <c r="AE33" s="205"/>
    </row>
    <row r="34" spans="1:31" s="190" customFormat="1" x14ac:dyDescent="0.3">
      <c r="A34" s="190">
        <v>1</v>
      </c>
      <c r="B34" s="191"/>
      <c r="C34" s="249"/>
      <c r="D34" s="249"/>
      <c r="E34" s="249"/>
      <c r="F34" s="249"/>
      <c r="G34" s="249"/>
      <c r="I34" s="193"/>
      <c r="J34" s="193"/>
      <c r="K34" s="281"/>
      <c r="L34" s="193"/>
      <c r="M34" s="207"/>
      <c r="N34" s="207"/>
      <c r="O34" s="207"/>
      <c r="P34" s="207"/>
      <c r="Q34" s="208"/>
      <c r="R34" s="207"/>
      <c r="S34" s="107"/>
      <c r="T34" s="209"/>
      <c r="U34" s="207"/>
      <c r="V34" s="210"/>
      <c r="W34" s="211"/>
      <c r="X34" s="212"/>
      <c r="Y34" s="193"/>
      <c r="Z34" s="213"/>
      <c r="AA34" s="211"/>
      <c r="AB34" s="212"/>
      <c r="AC34" s="211"/>
      <c r="AD34" s="212"/>
      <c r="AE34" s="212"/>
    </row>
    <row r="35" spans="1:31" s="190" customFormat="1" x14ac:dyDescent="0.3">
      <c r="A35" s="190">
        <v>2</v>
      </c>
      <c r="B35" s="191"/>
      <c r="C35" s="249"/>
      <c r="D35" s="249"/>
      <c r="E35" s="249"/>
      <c r="F35" s="249"/>
      <c r="G35" s="249"/>
      <c r="I35" s="193"/>
      <c r="J35" s="193"/>
      <c r="K35" s="281"/>
      <c r="L35" s="193"/>
      <c r="M35" s="207"/>
      <c r="N35" s="207"/>
      <c r="O35" s="207"/>
      <c r="P35" s="207"/>
      <c r="Q35" s="208"/>
      <c r="R35" s="207"/>
      <c r="S35" s="107"/>
      <c r="T35" s="209"/>
      <c r="U35" s="207"/>
      <c r="V35" s="210"/>
      <c r="W35" s="211"/>
      <c r="X35" s="212"/>
      <c r="Y35" s="193"/>
      <c r="Z35" s="213"/>
      <c r="AA35" s="211"/>
      <c r="AB35" s="212"/>
      <c r="AC35" s="211"/>
      <c r="AD35" s="212"/>
      <c r="AE35" s="212"/>
    </row>
    <row r="36" spans="1:31" s="190" customFormat="1" x14ac:dyDescent="0.3">
      <c r="A36" s="190">
        <v>3</v>
      </c>
      <c r="B36" s="191"/>
      <c r="C36" s="249"/>
      <c r="D36" s="249"/>
      <c r="E36" s="249"/>
      <c r="F36" s="249"/>
      <c r="G36" s="249"/>
      <c r="I36" s="193"/>
      <c r="J36" s="193"/>
      <c r="K36" s="281"/>
      <c r="L36" s="193"/>
      <c r="M36" s="207"/>
      <c r="N36" s="207"/>
      <c r="O36" s="207"/>
      <c r="P36" s="207"/>
      <c r="Q36" s="208"/>
      <c r="R36" s="207"/>
      <c r="S36" s="107"/>
      <c r="T36" s="209"/>
      <c r="U36" s="207"/>
      <c r="V36" s="210"/>
      <c r="W36" s="211"/>
      <c r="X36" s="212"/>
      <c r="Y36" s="193"/>
      <c r="Z36" s="213"/>
      <c r="AA36" s="211"/>
      <c r="AB36" s="212"/>
      <c r="AC36" s="211"/>
      <c r="AD36" s="212"/>
      <c r="AE36" s="212"/>
    </row>
    <row r="37" spans="1:31" s="190" customFormat="1" x14ac:dyDescent="0.3">
      <c r="A37" s="190">
        <v>4</v>
      </c>
      <c r="B37" s="191"/>
      <c r="C37" s="249"/>
      <c r="D37" s="249"/>
      <c r="E37" s="249"/>
      <c r="F37" s="249"/>
      <c r="G37" s="249"/>
      <c r="I37" s="193"/>
      <c r="J37" s="193"/>
      <c r="K37" s="281"/>
      <c r="L37" s="193"/>
      <c r="M37" s="207"/>
      <c r="N37" s="207"/>
      <c r="O37" s="207"/>
      <c r="P37" s="207"/>
      <c r="Q37" s="208"/>
      <c r="R37" s="207"/>
      <c r="S37" s="107"/>
      <c r="T37" s="209"/>
      <c r="U37" s="207"/>
      <c r="V37" s="210"/>
      <c r="W37" s="211"/>
      <c r="X37" s="212"/>
      <c r="Y37" s="193"/>
      <c r="Z37" s="213"/>
      <c r="AA37" s="211"/>
      <c r="AB37" s="212"/>
      <c r="AC37" s="211"/>
      <c r="AD37" s="212"/>
      <c r="AE37" s="212"/>
    </row>
    <row r="38" spans="1:31" s="194" customFormat="1" x14ac:dyDescent="0.3">
      <c r="A38" s="194">
        <v>5</v>
      </c>
      <c r="B38" s="195"/>
      <c r="C38" s="250"/>
      <c r="D38" s="250"/>
      <c r="E38" s="250"/>
      <c r="F38" s="250"/>
      <c r="G38" s="250"/>
      <c r="I38" s="197"/>
      <c r="J38" s="197"/>
      <c r="K38" s="280"/>
      <c r="L38" s="197"/>
      <c r="M38" s="214"/>
      <c r="N38" s="214"/>
      <c r="O38" s="214"/>
      <c r="P38" s="214"/>
      <c r="Q38" s="215"/>
      <c r="R38" s="214"/>
      <c r="S38" s="216"/>
      <c r="T38" s="217"/>
      <c r="U38" s="214"/>
      <c r="V38" s="218"/>
      <c r="W38" s="219"/>
      <c r="X38" s="220"/>
      <c r="Y38" s="197"/>
      <c r="Z38" s="221"/>
      <c r="AA38" s="219"/>
      <c r="AB38" s="220"/>
      <c r="AC38" s="219"/>
      <c r="AD38" s="220"/>
      <c r="AE38" s="220"/>
    </row>
    <row r="39" spans="1:31" s="185" customFormat="1" x14ac:dyDescent="0.3">
      <c r="B39" s="186" t="s">
        <v>264</v>
      </c>
      <c r="C39" s="248"/>
      <c r="D39" s="248"/>
      <c r="E39" s="248"/>
      <c r="F39" s="248"/>
      <c r="G39" s="248"/>
      <c r="I39" s="188"/>
      <c r="J39" s="188"/>
      <c r="K39" s="286"/>
      <c r="L39" s="188"/>
      <c r="M39" s="199"/>
      <c r="N39" s="199"/>
      <c r="O39" s="199"/>
      <c r="P39" s="199"/>
      <c r="Q39" s="200"/>
      <c r="R39" s="199"/>
      <c r="S39" s="201"/>
      <c r="T39" s="202"/>
      <c r="U39" s="199"/>
      <c r="V39" s="203"/>
      <c r="W39" s="204"/>
      <c r="X39" s="205"/>
      <c r="Y39" s="188"/>
      <c r="Z39" s="206"/>
      <c r="AA39" s="204"/>
      <c r="AB39" s="205"/>
      <c r="AC39" s="204"/>
      <c r="AD39" s="205"/>
      <c r="AE39" s="205"/>
    </row>
    <row r="40" spans="1:31" s="190" customFormat="1" x14ac:dyDescent="0.3">
      <c r="A40" s="190">
        <v>1</v>
      </c>
      <c r="B40" s="191"/>
      <c r="C40" s="249"/>
      <c r="D40" s="249"/>
      <c r="E40" s="249"/>
      <c r="F40" s="249"/>
      <c r="G40" s="249"/>
      <c r="I40" s="193"/>
      <c r="J40" s="193"/>
      <c r="K40" s="281"/>
      <c r="L40" s="193"/>
      <c r="M40" s="207"/>
      <c r="N40" s="207"/>
      <c r="O40" s="207"/>
      <c r="P40" s="207"/>
      <c r="Q40" s="208"/>
      <c r="R40" s="207"/>
      <c r="S40" s="107"/>
      <c r="T40" s="209"/>
      <c r="U40" s="207"/>
      <c r="V40" s="210"/>
      <c r="W40" s="211"/>
      <c r="X40" s="212"/>
      <c r="Y40" s="193"/>
      <c r="Z40" s="213"/>
      <c r="AA40" s="211"/>
      <c r="AB40" s="212"/>
      <c r="AC40" s="211"/>
      <c r="AD40" s="212"/>
      <c r="AE40" s="212"/>
    </row>
    <row r="41" spans="1:31" s="190" customFormat="1" x14ac:dyDescent="0.3">
      <c r="A41" s="190">
        <v>2</v>
      </c>
      <c r="B41" s="191"/>
      <c r="C41" s="249"/>
      <c r="D41" s="249"/>
      <c r="E41" s="249"/>
      <c r="F41" s="249"/>
      <c r="G41" s="249"/>
      <c r="I41" s="193"/>
      <c r="J41" s="193"/>
      <c r="K41" s="281"/>
      <c r="L41" s="193"/>
      <c r="M41" s="207"/>
      <c r="N41" s="207"/>
      <c r="O41" s="207"/>
      <c r="P41" s="207"/>
      <c r="Q41" s="208"/>
      <c r="R41" s="207"/>
      <c r="S41" s="107"/>
      <c r="T41" s="209"/>
      <c r="U41" s="207"/>
      <c r="V41" s="210"/>
      <c r="W41" s="211"/>
      <c r="X41" s="212"/>
      <c r="Y41" s="193"/>
      <c r="Z41" s="213"/>
      <c r="AA41" s="211"/>
      <c r="AB41" s="212"/>
      <c r="AC41" s="211"/>
      <c r="AD41" s="212"/>
      <c r="AE41" s="212"/>
    </row>
    <row r="42" spans="1:31" s="190" customFormat="1" x14ac:dyDescent="0.3">
      <c r="A42" s="190">
        <v>3</v>
      </c>
      <c r="B42" s="191"/>
      <c r="C42" s="249"/>
      <c r="D42" s="249"/>
      <c r="E42" s="249"/>
      <c r="F42" s="249"/>
      <c r="G42" s="249"/>
      <c r="I42" s="193"/>
      <c r="J42" s="193"/>
      <c r="K42" s="281"/>
      <c r="L42" s="193"/>
      <c r="M42" s="207"/>
      <c r="N42" s="207"/>
      <c r="O42" s="207"/>
      <c r="P42" s="207"/>
      <c r="Q42" s="208"/>
      <c r="R42" s="207"/>
      <c r="S42" s="107"/>
      <c r="T42" s="209"/>
      <c r="U42" s="207"/>
      <c r="V42" s="210"/>
      <c r="W42" s="211"/>
      <c r="X42" s="212"/>
      <c r="Y42" s="193"/>
      <c r="Z42" s="213"/>
      <c r="AA42" s="211"/>
      <c r="AB42" s="212"/>
      <c r="AC42" s="211"/>
      <c r="AD42" s="212"/>
      <c r="AE42" s="212"/>
    </row>
    <row r="43" spans="1:31" s="190" customFormat="1" x14ac:dyDescent="0.3">
      <c r="A43" s="190">
        <v>4</v>
      </c>
      <c r="B43" s="191"/>
      <c r="C43" s="249"/>
      <c r="D43" s="249"/>
      <c r="E43" s="249"/>
      <c r="F43" s="249"/>
      <c r="G43" s="249"/>
      <c r="I43" s="193"/>
      <c r="J43" s="193"/>
      <c r="K43" s="281"/>
      <c r="L43" s="193"/>
      <c r="M43" s="207"/>
      <c r="N43" s="207"/>
      <c r="O43" s="207"/>
      <c r="P43" s="207"/>
      <c r="Q43" s="208"/>
      <c r="R43" s="207"/>
      <c r="S43" s="107"/>
      <c r="T43" s="209"/>
      <c r="U43" s="207"/>
      <c r="V43" s="210"/>
      <c r="W43" s="211"/>
      <c r="X43" s="212"/>
      <c r="Y43" s="193"/>
      <c r="Z43" s="213"/>
      <c r="AA43" s="211"/>
      <c r="AB43" s="212"/>
      <c r="AC43" s="211"/>
      <c r="AD43" s="212"/>
      <c r="AE43" s="212"/>
    </row>
    <row r="44" spans="1:31" s="194" customFormat="1" x14ac:dyDescent="0.3">
      <c r="A44" s="194">
        <v>5</v>
      </c>
      <c r="B44" s="195"/>
      <c r="C44" s="250"/>
      <c r="D44" s="250"/>
      <c r="E44" s="250"/>
      <c r="F44" s="250"/>
      <c r="G44" s="250"/>
      <c r="I44" s="197"/>
      <c r="J44" s="197"/>
      <c r="K44" s="280"/>
      <c r="L44" s="197"/>
      <c r="M44" s="214"/>
      <c r="N44" s="214"/>
      <c r="O44" s="214"/>
      <c r="P44" s="214"/>
      <c r="Q44" s="215"/>
      <c r="R44" s="214"/>
      <c r="S44" s="216"/>
      <c r="T44" s="217"/>
      <c r="U44" s="214"/>
      <c r="V44" s="218"/>
      <c r="W44" s="219"/>
      <c r="X44" s="220"/>
      <c r="Y44" s="197"/>
      <c r="Z44" s="221"/>
      <c r="AA44" s="219"/>
      <c r="AB44" s="220"/>
      <c r="AC44" s="219"/>
      <c r="AD44" s="220"/>
      <c r="AE44" s="220"/>
    </row>
    <row r="45" spans="1:31" s="185" customFormat="1" x14ac:dyDescent="0.3">
      <c r="B45" s="186" t="s">
        <v>266</v>
      </c>
      <c r="C45" s="248"/>
      <c r="D45" s="248"/>
      <c r="E45" s="248"/>
      <c r="F45" s="248"/>
      <c r="G45" s="248"/>
      <c r="I45" s="188"/>
      <c r="J45" s="188"/>
      <c r="K45" s="286"/>
      <c r="L45" s="188"/>
      <c r="M45" s="199"/>
      <c r="N45" s="199"/>
      <c r="O45" s="199"/>
      <c r="P45" s="199"/>
      <c r="Q45" s="200"/>
      <c r="R45" s="199"/>
      <c r="S45" s="201"/>
      <c r="T45" s="202"/>
      <c r="U45" s="199"/>
      <c r="V45" s="203"/>
      <c r="W45" s="204"/>
      <c r="X45" s="205"/>
      <c r="Y45" s="188"/>
      <c r="Z45" s="206"/>
      <c r="AA45" s="204"/>
      <c r="AB45" s="205"/>
      <c r="AC45" s="204"/>
      <c r="AD45" s="205"/>
      <c r="AE45" s="205"/>
    </row>
    <row r="46" spans="1:31" s="190" customFormat="1" x14ac:dyDescent="0.3">
      <c r="A46" s="190">
        <v>1</v>
      </c>
      <c r="B46" s="191"/>
      <c r="C46" s="249"/>
      <c r="D46" s="249"/>
      <c r="E46" s="249"/>
      <c r="F46" s="249"/>
      <c r="G46" s="249"/>
      <c r="I46" s="193"/>
      <c r="J46" s="193"/>
      <c r="K46" s="281"/>
      <c r="L46" s="193"/>
      <c r="M46" s="207"/>
      <c r="N46" s="207"/>
      <c r="O46" s="207"/>
      <c r="P46" s="207"/>
      <c r="Q46" s="208"/>
      <c r="R46" s="207"/>
      <c r="S46" s="107"/>
      <c r="T46" s="209"/>
      <c r="U46" s="207"/>
      <c r="V46" s="210"/>
      <c r="W46" s="211"/>
      <c r="X46" s="212"/>
      <c r="Y46" s="193"/>
      <c r="Z46" s="213"/>
      <c r="AA46" s="211"/>
      <c r="AB46" s="212"/>
      <c r="AC46" s="211"/>
      <c r="AD46" s="212"/>
      <c r="AE46" s="212"/>
    </row>
    <row r="47" spans="1:31" s="190" customFormat="1" x14ac:dyDescent="0.3">
      <c r="A47" s="190">
        <v>2</v>
      </c>
      <c r="B47" s="191"/>
      <c r="C47" s="249"/>
      <c r="D47" s="249"/>
      <c r="E47" s="249"/>
      <c r="F47" s="249"/>
      <c r="G47" s="249"/>
      <c r="I47" s="193"/>
      <c r="J47" s="193"/>
      <c r="K47" s="281"/>
      <c r="L47" s="193"/>
      <c r="M47" s="207"/>
      <c r="N47" s="207"/>
      <c r="O47" s="207"/>
      <c r="P47" s="207"/>
      <c r="Q47" s="208"/>
      <c r="R47" s="207"/>
      <c r="S47" s="107"/>
      <c r="T47" s="209"/>
      <c r="U47" s="207"/>
      <c r="V47" s="210"/>
      <c r="W47" s="211"/>
      <c r="X47" s="212"/>
      <c r="Y47" s="193"/>
      <c r="Z47" s="213"/>
      <c r="AA47" s="211"/>
      <c r="AB47" s="212"/>
      <c r="AC47" s="211"/>
      <c r="AD47" s="212"/>
      <c r="AE47" s="212"/>
    </row>
    <row r="48" spans="1:31" s="190" customFormat="1" x14ac:dyDescent="0.3">
      <c r="A48" s="190">
        <v>3</v>
      </c>
      <c r="B48" s="191"/>
      <c r="C48" s="249"/>
      <c r="D48" s="249"/>
      <c r="E48" s="249"/>
      <c r="F48" s="249"/>
      <c r="G48" s="249"/>
      <c r="I48" s="193"/>
      <c r="J48" s="193"/>
      <c r="K48" s="281"/>
      <c r="L48" s="193"/>
      <c r="M48" s="207"/>
      <c r="N48" s="207"/>
      <c r="O48" s="207"/>
      <c r="P48" s="207"/>
      <c r="Q48" s="208"/>
      <c r="R48" s="207"/>
      <c r="S48" s="107"/>
      <c r="T48" s="209"/>
      <c r="U48" s="207"/>
      <c r="V48" s="210"/>
      <c r="W48" s="211"/>
      <c r="X48" s="212"/>
      <c r="Y48" s="193"/>
      <c r="Z48" s="213"/>
      <c r="AA48" s="211"/>
      <c r="AB48" s="212"/>
      <c r="AC48" s="211"/>
      <c r="AD48" s="212"/>
      <c r="AE48" s="212"/>
    </row>
    <row r="49" spans="1:31" s="190" customFormat="1" x14ac:dyDescent="0.3">
      <c r="A49" s="190">
        <v>4</v>
      </c>
      <c r="B49" s="191"/>
      <c r="C49" s="249"/>
      <c r="D49" s="249"/>
      <c r="E49" s="249"/>
      <c r="F49" s="249"/>
      <c r="G49" s="249"/>
      <c r="I49" s="193"/>
      <c r="J49" s="193"/>
      <c r="K49" s="281"/>
      <c r="L49" s="193"/>
      <c r="M49" s="207"/>
      <c r="N49" s="207"/>
      <c r="O49" s="207"/>
      <c r="P49" s="207"/>
      <c r="Q49" s="208"/>
      <c r="R49" s="207"/>
      <c r="S49" s="107"/>
      <c r="T49" s="209"/>
      <c r="U49" s="207"/>
      <c r="V49" s="210"/>
      <c r="W49" s="211"/>
      <c r="X49" s="212"/>
      <c r="Y49" s="193"/>
      <c r="Z49" s="213"/>
      <c r="AA49" s="211"/>
      <c r="AB49" s="212"/>
      <c r="AC49" s="211"/>
      <c r="AD49" s="212"/>
      <c r="AE49" s="212"/>
    </row>
    <row r="50" spans="1:31" s="194" customFormat="1" x14ac:dyDescent="0.3">
      <c r="A50" s="194">
        <v>5</v>
      </c>
      <c r="B50" s="195"/>
      <c r="C50" s="250"/>
      <c r="D50" s="250"/>
      <c r="E50" s="250"/>
      <c r="F50" s="250"/>
      <c r="G50" s="250"/>
      <c r="I50" s="197"/>
      <c r="J50" s="197"/>
      <c r="K50" s="280"/>
      <c r="L50" s="197"/>
      <c r="M50" s="214"/>
      <c r="N50" s="214"/>
      <c r="O50" s="214"/>
      <c r="P50" s="214"/>
      <c r="Q50" s="215"/>
      <c r="R50" s="214"/>
      <c r="S50" s="216"/>
      <c r="T50" s="217"/>
      <c r="U50" s="214"/>
      <c r="V50" s="218"/>
      <c r="W50" s="219"/>
      <c r="X50" s="220"/>
      <c r="Y50" s="197"/>
      <c r="Z50" s="221"/>
      <c r="AA50" s="219"/>
      <c r="AB50" s="220"/>
      <c r="AC50" s="219"/>
      <c r="AD50" s="220"/>
      <c r="AE50" s="220"/>
    </row>
    <row r="51" spans="1:31" s="185" customFormat="1" x14ac:dyDescent="0.3">
      <c r="B51" s="186" t="s">
        <v>267</v>
      </c>
      <c r="C51" s="248"/>
      <c r="D51" s="248"/>
      <c r="E51" s="248"/>
      <c r="F51" s="248"/>
      <c r="G51" s="248"/>
      <c r="H51" s="188"/>
      <c r="I51" s="188"/>
      <c r="J51" s="188"/>
      <c r="K51" s="286"/>
      <c r="L51" s="188"/>
      <c r="M51" s="199"/>
      <c r="N51" s="199"/>
      <c r="O51" s="199"/>
      <c r="P51" s="199"/>
      <c r="Q51" s="200"/>
      <c r="R51" s="199"/>
      <c r="S51" s="201"/>
      <c r="T51" s="202"/>
      <c r="U51" s="199"/>
      <c r="V51" s="203"/>
      <c r="W51" s="204"/>
      <c r="X51" s="205"/>
      <c r="Y51" s="188"/>
      <c r="Z51" s="206"/>
      <c r="AA51" s="204"/>
      <c r="AB51" s="205"/>
      <c r="AC51" s="204"/>
      <c r="AD51" s="205"/>
      <c r="AE51" s="205"/>
    </row>
    <row r="52" spans="1:31" s="190" customFormat="1" x14ac:dyDescent="0.3">
      <c r="A52" s="190">
        <v>1</v>
      </c>
      <c r="B52" s="191"/>
      <c r="C52" s="249"/>
      <c r="D52" s="249"/>
      <c r="E52" s="249"/>
      <c r="F52" s="249"/>
      <c r="G52" s="249"/>
      <c r="H52" s="193"/>
      <c r="I52" s="193"/>
      <c r="J52" s="193"/>
      <c r="K52" s="281"/>
      <c r="L52" s="193"/>
      <c r="M52" s="207"/>
      <c r="N52" s="207"/>
      <c r="O52" s="207"/>
      <c r="P52" s="207"/>
      <c r="Q52" s="208"/>
      <c r="R52" s="207"/>
      <c r="S52" s="107"/>
      <c r="T52" s="209"/>
      <c r="U52" s="207"/>
      <c r="V52" s="210"/>
      <c r="W52" s="211"/>
      <c r="X52" s="212"/>
      <c r="Y52" s="193"/>
      <c r="Z52" s="213"/>
      <c r="AA52" s="211"/>
      <c r="AB52" s="212"/>
      <c r="AC52" s="211"/>
      <c r="AD52" s="212"/>
      <c r="AE52" s="212"/>
    </row>
    <row r="53" spans="1:31" s="190" customFormat="1" x14ac:dyDescent="0.3">
      <c r="A53" s="190">
        <v>2</v>
      </c>
      <c r="B53" s="191"/>
      <c r="C53" s="249"/>
      <c r="D53" s="249"/>
      <c r="E53" s="249"/>
      <c r="F53" s="249"/>
      <c r="G53" s="249"/>
      <c r="H53" s="193"/>
      <c r="I53" s="193"/>
      <c r="J53" s="193"/>
      <c r="K53" s="281"/>
      <c r="L53" s="193"/>
      <c r="M53" s="207"/>
      <c r="N53" s="207"/>
      <c r="O53" s="207"/>
      <c r="P53" s="207"/>
      <c r="Q53" s="208"/>
      <c r="R53" s="207"/>
      <c r="S53" s="107"/>
      <c r="T53" s="209"/>
      <c r="U53" s="207"/>
      <c r="V53" s="210"/>
      <c r="W53" s="211"/>
      <c r="X53" s="212"/>
      <c r="Y53" s="193"/>
      <c r="Z53" s="213"/>
      <c r="AA53" s="211"/>
      <c r="AB53" s="212"/>
      <c r="AC53" s="211"/>
      <c r="AD53" s="212"/>
      <c r="AE53" s="212"/>
    </row>
    <row r="54" spans="1:31" s="190" customFormat="1" x14ac:dyDescent="0.3">
      <c r="A54" s="190">
        <v>3</v>
      </c>
      <c r="B54" s="191"/>
      <c r="C54" s="249"/>
      <c r="D54" s="249"/>
      <c r="E54" s="249"/>
      <c r="F54" s="249"/>
      <c r="G54" s="249"/>
      <c r="H54" s="193"/>
      <c r="I54" s="193"/>
      <c r="J54" s="193"/>
      <c r="K54" s="281"/>
      <c r="L54" s="193"/>
      <c r="M54" s="207"/>
      <c r="N54" s="207"/>
      <c r="O54" s="207"/>
      <c r="P54" s="207"/>
      <c r="Q54" s="208"/>
      <c r="R54" s="207"/>
      <c r="S54" s="107"/>
      <c r="T54" s="209"/>
      <c r="U54" s="207"/>
      <c r="V54" s="210"/>
      <c r="W54" s="211"/>
      <c r="X54" s="212"/>
      <c r="Y54" s="193"/>
      <c r="Z54" s="213"/>
      <c r="AA54" s="211"/>
      <c r="AB54" s="212"/>
      <c r="AC54" s="211"/>
      <c r="AD54" s="212"/>
      <c r="AE54" s="212"/>
    </row>
    <row r="55" spans="1:31" s="190" customFormat="1" x14ac:dyDescent="0.3">
      <c r="A55" s="190">
        <v>4</v>
      </c>
      <c r="B55" s="191"/>
      <c r="C55" s="249"/>
      <c r="D55" s="249"/>
      <c r="E55" s="249"/>
      <c r="F55" s="249"/>
      <c r="G55" s="249"/>
      <c r="H55" s="193"/>
      <c r="I55" s="193"/>
      <c r="J55" s="193"/>
      <c r="K55" s="281"/>
      <c r="L55" s="193"/>
      <c r="M55" s="207"/>
      <c r="N55" s="207"/>
      <c r="O55" s="207"/>
      <c r="P55" s="207"/>
      <c r="Q55" s="208"/>
      <c r="R55" s="207"/>
      <c r="S55" s="107"/>
      <c r="T55" s="209"/>
      <c r="U55" s="207"/>
      <c r="V55" s="210"/>
      <c r="W55" s="211"/>
      <c r="X55" s="212"/>
      <c r="Y55" s="193"/>
      <c r="Z55" s="213"/>
      <c r="AA55" s="211"/>
      <c r="AB55" s="212"/>
      <c r="AC55" s="211"/>
      <c r="AD55" s="212"/>
      <c r="AE55" s="212"/>
    </row>
    <row r="56" spans="1:31" s="194" customFormat="1" x14ac:dyDescent="0.3">
      <c r="A56" s="194">
        <v>5</v>
      </c>
      <c r="B56" s="195"/>
      <c r="C56" s="250"/>
      <c r="D56" s="250"/>
      <c r="E56" s="250"/>
      <c r="F56" s="250"/>
      <c r="G56" s="250"/>
      <c r="H56" s="197"/>
      <c r="I56" s="197"/>
      <c r="J56" s="197"/>
      <c r="K56" s="280"/>
      <c r="L56" s="197"/>
      <c r="M56" s="214"/>
      <c r="N56" s="214"/>
      <c r="O56" s="214"/>
      <c r="P56" s="214"/>
      <c r="Q56" s="215"/>
      <c r="R56" s="214"/>
      <c r="S56" s="216"/>
      <c r="T56" s="217"/>
      <c r="U56" s="214"/>
      <c r="V56" s="218"/>
      <c r="W56" s="219"/>
      <c r="X56" s="220"/>
      <c r="Y56" s="197"/>
      <c r="Z56" s="221"/>
      <c r="AA56" s="219"/>
      <c r="AB56" s="220"/>
      <c r="AC56" s="219"/>
      <c r="AD56" s="220"/>
      <c r="AE56" s="220"/>
    </row>
    <row r="57" spans="1:31" s="185" customFormat="1" x14ac:dyDescent="0.3">
      <c r="B57" s="186" t="s">
        <v>274</v>
      </c>
      <c r="C57" s="248"/>
      <c r="D57" s="248"/>
      <c r="E57" s="248"/>
      <c r="F57" s="248"/>
      <c r="G57" s="248"/>
      <c r="I57" s="188"/>
      <c r="J57" s="188"/>
      <c r="K57" s="286"/>
      <c r="L57" s="188"/>
      <c r="M57" s="199"/>
      <c r="N57" s="199"/>
      <c r="O57" s="199"/>
      <c r="P57" s="199"/>
      <c r="Q57" s="200"/>
      <c r="R57" s="199"/>
      <c r="S57" s="201"/>
      <c r="T57" s="202"/>
      <c r="U57" s="199"/>
      <c r="V57" s="203"/>
      <c r="W57" s="204"/>
      <c r="X57" s="205"/>
      <c r="Y57" s="188"/>
      <c r="Z57" s="206"/>
      <c r="AA57" s="204"/>
      <c r="AB57" s="205"/>
      <c r="AC57" s="204"/>
      <c r="AD57" s="205"/>
      <c r="AE57" s="205"/>
    </row>
    <row r="58" spans="1:31" s="190" customFormat="1" x14ac:dyDescent="0.3">
      <c r="A58" s="190">
        <v>1</v>
      </c>
      <c r="B58" s="191"/>
      <c r="C58" s="249"/>
      <c r="D58" s="249"/>
      <c r="E58" s="249"/>
      <c r="F58" s="249"/>
      <c r="G58" s="249"/>
      <c r="I58" s="193"/>
      <c r="J58" s="193"/>
      <c r="K58" s="281"/>
      <c r="L58" s="193"/>
      <c r="M58" s="207"/>
      <c r="N58" s="207"/>
      <c r="O58" s="207"/>
      <c r="P58" s="207"/>
      <c r="Q58" s="208"/>
      <c r="R58" s="207"/>
      <c r="S58" s="107"/>
      <c r="T58" s="209"/>
      <c r="U58" s="207"/>
      <c r="V58" s="210"/>
      <c r="W58" s="211"/>
      <c r="X58" s="212"/>
      <c r="Y58" s="193"/>
      <c r="Z58" s="213"/>
      <c r="AA58" s="211"/>
      <c r="AB58" s="212"/>
      <c r="AC58" s="211"/>
      <c r="AD58" s="212"/>
      <c r="AE58" s="212"/>
    </row>
    <row r="59" spans="1:31" s="190" customFormat="1" x14ac:dyDescent="0.3">
      <c r="A59" s="190">
        <v>2</v>
      </c>
      <c r="B59" s="191"/>
      <c r="C59" s="249"/>
      <c r="D59" s="249"/>
      <c r="E59" s="249"/>
      <c r="F59" s="249"/>
      <c r="G59" s="249"/>
      <c r="I59" s="193"/>
      <c r="J59" s="193"/>
      <c r="K59" s="281"/>
      <c r="L59" s="193"/>
      <c r="M59" s="207"/>
      <c r="N59" s="207"/>
      <c r="O59" s="207"/>
      <c r="P59" s="207"/>
      <c r="Q59" s="208"/>
      <c r="R59" s="207"/>
      <c r="S59" s="107"/>
      <c r="T59" s="209"/>
      <c r="U59" s="207"/>
      <c r="V59" s="210"/>
      <c r="W59" s="211"/>
      <c r="X59" s="212"/>
      <c r="Y59" s="193"/>
      <c r="Z59" s="213"/>
      <c r="AA59" s="211"/>
      <c r="AB59" s="212"/>
      <c r="AC59" s="211"/>
      <c r="AD59" s="212"/>
      <c r="AE59" s="212"/>
    </row>
    <row r="60" spans="1:31" s="190" customFormat="1" x14ac:dyDescent="0.3">
      <c r="A60" s="190">
        <v>3</v>
      </c>
      <c r="B60" s="191"/>
      <c r="C60" s="249"/>
      <c r="D60" s="249"/>
      <c r="E60" s="249"/>
      <c r="F60" s="249"/>
      <c r="G60" s="249"/>
      <c r="I60" s="193"/>
      <c r="J60" s="193"/>
      <c r="K60" s="281"/>
      <c r="L60" s="193"/>
      <c r="M60" s="207"/>
      <c r="N60" s="207"/>
      <c r="O60" s="207"/>
      <c r="P60" s="207"/>
      <c r="Q60" s="208"/>
      <c r="R60" s="207"/>
      <c r="S60" s="107"/>
      <c r="T60" s="209"/>
      <c r="U60" s="207"/>
      <c r="V60" s="210"/>
      <c r="W60" s="211"/>
      <c r="X60" s="212"/>
      <c r="Y60" s="193"/>
      <c r="Z60" s="213"/>
      <c r="AA60" s="211"/>
      <c r="AB60" s="212"/>
      <c r="AC60" s="211"/>
      <c r="AD60" s="212"/>
      <c r="AE60" s="212"/>
    </row>
    <row r="61" spans="1:31" s="190" customFormat="1" x14ac:dyDescent="0.3">
      <c r="A61" s="190">
        <v>4</v>
      </c>
      <c r="B61" s="191"/>
      <c r="C61" s="249"/>
      <c r="D61" s="249"/>
      <c r="E61" s="249"/>
      <c r="F61" s="249"/>
      <c r="G61" s="249"/>
      <c r="I61" s="193"/>
      <c r="J61" s="193"/>
      <c r="K61" s="281"/>
      <c r="L61" s="193"/>
      <c r="M61" s="207"/>
      <c r="N61" s="207"/>
      <c r="O61" s="207"/>
      <c r="P61" s="207"/>
      <c r="Q61" s="208"/>
      <c r="R61" s="207"/>
      <c r="S61" s="107"/>
      <c r="T61" s="209"/>
      <c r="U61" s="207"/>
      <c r="V61" s="210"/>
      <c r="W61" s="211"/>
      <c r="X61" s="212"/>
      <c r="Y61" s="193"/>
      <c r="Z61" s="213"/>
      <c r="AA61" s="211"/>
      <c r="AB61" s="212"/>
      <c r="AC61" s="211"/>
      <c r="AD61" s="212"/>
      <c r="AE61" s="212"/>
    </row>
    <row r="62" spans="1:31" s="194" customFormat="1" x14ac:dyDescent="0.3">
      <c r="A62" s="194">
        <v>5</v>
      </c>
      <c r="B62" s="195"/>
      <c r="C62" s="250"/>
      <c r="D62" s="250"/>
      <c r="E62" s="250"/>
      <c r="F62" s="250"/>
      <c r="G62" s="250"/>
      <c r="I62" s="197"/>
      <c r="J62" s="197"/>
      <c r="K62" s="280"/>
      <c r="L62" s="197"/>
      <c r="M62" s="214"/>
      <c r="N62" s="214"/>
      <c r="O62" s="214"/>
      <c r="P62" s="214"/>
      <c r="Q62" s="215"/>
      <c r="R62" s="214"/>
      <c r="S62" s="216"/>
      <c r="T62" s="217"/>
      <c r="U62" s="214"/>
      <c r="V62" s="218"/>
      <c r="W62" s="219"/>
      <c r="X62" s="220"/>
      <c r="Y62" s="197"/>
      <c r="Z62" s="221"/>
      <c r="AA62" s="219"/>
      <c r="AB62" s="220"/>
      <c r="AC62" s="219"/>
      <c r="AD62" s="220"/>
      <c r="AE62" s="220"/>
    </row>
    <row r="63" spans="1:31" s="185" customFormat="1" x14ac:dyDescent="0.3">
      <c r="B63" s="186" t="s">
        <v>293</v>
      </c>
      <c r="C63" s="248"/>
      <c r="D63" s="248"/>
      <c r="E63" s="248"/>
      <c r="F63" s="248"/>
      <c r="G63" s="248"/>
      <c r="I63" s="188"/>
      <c r="J63" s="188"/>
      <c r="K63" s="283"/>
      <c r="M63" s="189"/>
      <c r="N63" s="189"/>
      <c r="O63" s="189"/>
      <c r="P63" s="189"/>
      <c r="Q63" s="189"/>
      <c r="R63" s="189"/>
      <c r="S63" s="189"/>
      <c r="T63" s="189"/>
      <c r="U63" s="189"/>
      <c r="V63" s="189"/>
    </row>
    <row r="64" spans="1:31" s="190" customFormat="1" x14ac:dyDescent="0.3">
      <c r="A64" s="190">
        <v>1</v>
      </c>
      <c r="B64" s="191"/>
      <c r="C64" s="249"/>
      <c r="D64" s="249"/>
      <c r="E64" s="249"/>
      <c r="F64" s="249"/>
      <c r="G64" s="249"/>
      <c r="I64" s="193"/>
      <c r="J64" s="193"/>
      <c r="K64" s="284"/>
      <c r="M64" s="106"/>
      <c r="N64" s="106"/>
      <c r="O64" s="106"/>
      <c r="P64" s="106"/>
      <c r="Q64" s="106"/>
      <c r="R64" s="106"/>
      <c r="S64" s="106"/>
      <c r="T64" s="106"/>
      <c r="U64" s="106"/>
      <c r="V64" s="106"/>
    </row>
    <row r="65" spans="1:22" s="190" customFormat="1" x14ac:dyDescent="0.3">
      <c r="A65" s="190">
        <v>2</v>
      </c>
      <c r="B65" s="191"/>
      <c r="C65" s="249"/>
      <c r="D65" s="249"/>
      <c r="E65" s="249"/>
      <c r="F65" s="249"/>
      <c r="G65" s="249"/>
      <c r="I65" s="193"/>
      <c r="J65" s="193"/>
      <c r="K65" s="284"/>
      <c r="M65" s="106"/>
      <c r="N65" s="106"/>
      <c r="O65" s="106"/>
      <c r="P65" s="106"/>
      <c r="Q65" s="106"/>
      <c r="R65" s="106"/>
      <c r="S65" s="106"/>
      <c r="T65" s="106"/>
      <c r="U65" s="106"/>
      <c r="V65" s="106"/>
    </row>
    <row r="66" spans="1:22" s="190" customFormat="1" x14ac:dyDescent="0.3">
      <c r="A66" s="190">
        <v>3</v>
      </c>
      <c r="B66" s="191"/>
      <c r="C66" s="249"/>
      <c r="D66" s="249"/>
      <c r="E66" s="249"/>
      <c r="F66" s="249"/>
      <c r="G66" s="249"/>
      <c r="I66" s="193"/>
      <c r="J66" s="193"/>
      <c r="K66" s="284"/>
      <c r="M66" s="106"/>
      <c r="N66" s="106"/>
      <c r="O66" s="106"/>
      <c r="P66" s="106"/>
      <c r="Q66" s="106"/>
      <c r="R66" s="106"/>
      <c r="S66" s="106"/>
      <c r="T66" s="106"/>
      <c r="U66" s="106"/>
      <c r="V66" s="106"/>
    </row>
    <row r="67" spans="1:22" s="190" customFormat="1" x14ac:dyDescent="0.3">
      <c r="A67" s="190">
        <v>4</v>
      </c>
      <c r="B67" s="191"/>
      <c r="C67" s="249"/>
      <c r="D67" s="249"/>
      <c r="E67" s="249"/>
      <c r="F67" s="249"/>
      <c r="G67" s="249"/>
      <c r="I67" s="193"/>
      <c r="J67" s="193"/>
      <c r="K67" s="284"/>
      <c r="M67" s="106"/>
      <c r="N67" s="106"/>
      <c r="O67" s="106"/>
      <c r="P67" s="106"/>
      <c r="Q67" s="106"/>
      <c r="R67" s="106"/>
      <c r="S67" s="106"/>
      <c r="T67" s="106"/>
      <c r="U67" s="106"/>
      <c r="V67" s="106"/>
    </row>
    <row r="68" spans="1:22" s="194" customFormat="1" x14ac:dyDescent="0.3">
      <c r="A68" s="194">
        <v>5</v>
      </c>
      <c r="B68" s="195"/>
      <c r="C68" s="250"/>
      <c r="D68" s="250"/>
      <c r="E68" s="250"/>
      <c r="F68" s="250"/>
      <c r="G68" s="250"/>
      <c r="I68" s="197"/>
      <c r="J68" s="197"/>
      <c r="K68" s="285"/>
      <c r="M68" s="198"/>
      <c r="N68" s="198"/>
      <c r="O68" s="198"/>
      <c r="P68" s="198"/>
      <c r="Q68" s="198"/>
      <c r="R68" s="198"/>
      <c r="S68" s="198"/>
      <c r="T68" s="198"/>
      <c r="U68" s="198"/>
      <c r="V68" s="198"/>
    </row>
    <row r="69" spans="1:22" s="185" customFormat="1" x14ac:dyDescent="0.3">
      <c r="B69" s="186" t="s">
        <v>298</v>
      </c>
      <c r="C69" s="248"/>
      <c r="D69" s="248"/>
      <c r="E69" s="248"/>
      <c r="F69" s="248"/>
      <c r="G69" s="248"/>
      <c r="I69" s="188"/>
      <c r="J69" s="188"/>
      <c r="K69" s="283"/>
      <c r="M69" s="189"/>
      <c r="N69" s="189"/>
      <c r="O69" s="189"/>
      <c r="P69" s="189"/>
      <c r="Q69" s="189"/>
      <c r="R69" s="189"/>
      <c r="S69" s="189"/>
      <c r="T69" s="189"/>
      <c r="U69" s="189"/>
      <c r="V69" s="189"/>
    </row>
    <row r="70" spans="1:22" s="190" customFormat="1" x14ac:dyDescent="0.3">
      <c r="A70" s="190">
        <v>1</v>
      </c>
      <c r="B70" s="191"/>
      <c r="C70" s="249"/>
      <c r="D70" s="249"/>
      <c r="E70" s="249"/>
      <c r="F70" s="249"/>
      <c r="G70" s="249"/>
      <c r="I70" s="193"/>
      <c r="J70" s="193"/>
      <c r="K70" s="284"/>
      <c r="M70" s="106"/>
      <c r="N70" s="106"/>
      <c r="O70" s="106"/>
      <c r="P70" s="106"/>
      <c r="Q70" s="106"/>
      <c r="R70" s="106"/>
      <c r="S70" s="106"/>
      <c r="T70" s="106"/>
      <c r="U70" s="106"/>
      <c r="V70" s="106"/>
    </row>
    <row r="71" spans="1:22" s="190" customFormat="1" x14ac:dyDescent="0.3">
      <c r="A71" s="190">
        <v>2</v>
      </c>
      <c r="B71" s="191"/>
      <c r="C71" s="249"/>
      <c r="D71" s="249"/>
      <c r="E71" s="249"/>
      <c r="F71" s="249"/>
      <c r="G71" s="249"/>
      <c r="I71" s="193"/>
      <c r="J71" s="193"/>
      <c r="K71" s="284"/>
      <c r="M71" s="106"/>
      <c r="N71" s="106"/>
      <c r="O71" s="106"/>
      <c r="P71" s="106"/>
      <c r="Q71" s="106"/>
      <c r="R71" s="106"/>
      <c r="S71" s="106"/>
      <c r="T71" s="106"/>
      <c r="U71" s="106"/>
      <c r="V71" s="106"/>
    </row>
    <row r="72" spans="1:22" s="190" customFormat="1" x14ac:dyDescent="0.3">
      <c r="A72" s="190">
        <v>3</v>
      </c>
      <c r="B72" s="191"/>
      <c r="C72" s="249"/>
      <c r="D72" s="249"/>
      <c r="E72" s="249"/>
      <c r="F72" s="249"/>
      <c r="G72" s="249"/>
      <c r="I72" s="193"/>
      <c r="J72" s="193"/>
      <c r="K72" s="284"/>
      <c r="M72" s="106"/>
      <c r="N72" s="106"/>
      <c r="O72" s="106"/>
      <c r="P72" s="106"/>
      <c r="Q72" s="106"/>
      <c r="R72" s="106"/>
      <c r="S72" s="106"/>
      <c r="T72" s="106"/>
      <c r="U72" s="106"/>
      <c r="V72" s="106"/>
    </row>
    <row r="73" spans="1:22" s="190" customFormat="1" x14ac:dyDescent="0.3">
      <c r="A73" s="190">
        <v>4</v>
      </c>
      <c r="B73" s="191"/>
      <c r="C73" s="249"/>
      <c r="D73" s="249"/>
      <c r="E73" s="249"/>
      <c r="F73" s="249"/>
      <c r="G73" s="249"/>
      <c r="I73" s="193"/>
      <c r="J73" s="193"/>
      <c r="K73" s="284"/>
      <c r="M73" s="106"/>
      <c r="N73" s="106"/>
      <c r="O73" s="106"/>
      <c r="P73" s="106"/>
      <c r="Q73" s="106"/>
      <c r="R73" s="106"/>
      <c r="S73" s="106"/>
      <c r="T73" s="106"/>
      <c r="U73" s="106"/>
      <c r="V73" s="106"/>
    </row>
    <row r="74" spans="1:22" s="194" customFormat="1" x14ac:dyDescent="0.3">
      <c r="A74" s="194">
        <v>5</v>
      </c>
      <c r="B74" s="195"/>
      <c r="C74" s="250"/>
      <c r="D74" s="250"/>
      <c r="E74" s="250"/>
      <c r="F74" s="250"/>
      <c r="G74" s="250"/>
      <c r="I74" s="197"/>
      <c r="J74" s="197"/>
      <c r="K74" s="285"/>
      <c r="M74" s="198"/>
      <c r="N74" s="198"/>
      <c r="O74" s="198"/>
      <c r="P74" s="198"/>
      <c r="Q74" s="198"/>
      <c r="R74" s="198"/>
      <c r="S74" s="198"/>
      <c r="T74" s="198"/>
      <c r="U74" s="198"/>
      <c r="V74" s="198"/>
    </row>
    <row r="75" spans="1:22" s="185" customFormat="1" x14ac:dyDescent="0.3">
      <c r="B75" s="186" t="s">
        <v>299</v>
      </c>
      <c r="C75" s="248"/>
      <c r="D75" s="248"/>
      <c r="E75" s="248"/>
      <c r="F75" s="248"/>
      <c r="G75" s="248"/>
      <c r="I75" s="188"/>
      <c r="J75" s="188"/>
      <c r="K75" s="283"/>
      <c r="M75" s="189"/>
      <c r="N75" s="189"/>
      <c r="O75" s="189"/>
      <c r="P75" s="189"/>
      <c r="Q75" s="189"/>
      <c r="R75" s="189"/>
      <c r="S75" s="189"/>
      <c r="T75" s="189"/>
      <c r="U75" s="189"/>
      <c r="V75" s="189"/>
    </row>
    <row r="76" spans="1:22" s="190" customFormat="1" x14ac:dyDescent="0.3">
      <c r="A76" s="190">
        <v>1</v>
      </c>
      <c r="B76" s="191"/>
      <c r="C76" s="249"/>
      <c r="D76" s="249"/>
      <c r="E76" s="249"/>
      <c r="F76" s="249"/>
      <c r="G76" s="249"/>
      <c r="I76" s="193"/>
      <c r="J76" s="193"/>
      <c r="K76" s="284"/>
      <c r="M76" s="106"/>
      <c r="N76" s="106"/>
      <c r="O76" s="106"/>
      <c r="P76" s="106"/>
      <c r="Q76" s="106"/>
      <c r="R76" s="106"/>
      <c r="S76" s="106"/>
      <c r="T76" s="106"/>
      <c r="U76" s="106"/>
      <c r="V76" s="106"/>
    </row>
    <row r="77" spans="1:22" s="190" customFormat="1" x14ac:dyDescent="0.3">
      <c r="A77" s="190">
        <v>2</v>
      </c>
      <c r="B77" s="191"/>
      <c r="C77" s="249"/>
      <c r="D77" s="249"/>
      <c r="E77" s="249"/>
      <c r="F77" s="249"/>
      <c r="G77" s="249"/>
      <c r="I77" s="193"/>
      <c r="J77" s="193"/>
      <c r="K77" s="284"/>
      <c r="M77" s="106"/>
      <c r="N77" s="106"/>
      <c r="O77" s="106"/>
      <c r="P77" s="106"/>
      <c r="Q77" s="106"/>
      <c r="R77" s="106"/>
      <c r="S77" s="106"/>
      <c r="T77" s="106"/>
      <c r="U77" s="106"/>
      <c r="V77" s="106"/>
    </row>
    <row r="78" spans="1:22" s="190" customFormat="1" x14ac:dyDescent="0.3">
      <c r="A78" s="190">
        <v>3</v>
      </c>
      <c r="B78" s="191"/>
      <c r="C78" s="249"/>
      <c r="D78" s="249"/>
      <c r="E78" s="249"/>
      <c r="F78" s="249"/>
      <c r="G78" s="249"/>
      <c r="I78" s="193"/>
      <c r="J78" s="193"/>
      <c r="K78" s="284"/>
      <c r="M78" s="106"/>
      <c r="N78" s="106"/>
      <c r="O78" s="106"/>
      <c r="P78" s="106"/>
      <c r="Q78" s="106"/>
      <c r="R78" s="106"/>
      <c r="S78" s="106"/>
      <c r="T78" s="106"/>
      <c r="U78" s="106"/>
      <c r="V78" s="106"/>
    </row>
    <row r="79" spans="1:22" s="190" customFormat="1" x14ac:dyDescent="0.3">
      <c r="A79" s="190">
        <v>4</v>
      </c>
      <c r="B79" s="191"/>
      <c r="C79" s="249"/>
      <c r="D79" s="249"/>
      <c r="E79" s="249"/>
      <c r="F79" s="249"/>
      <c r="G79" s="249"/>
      <c r="I79" s="193"/>
      <c r="J79" s="193"/>
      <c r="K79" s="284"/>
      <c r="M79" s="106"/>
      <c r="N79" s="106"/>
      <c r="O79" s="106"/>
      <c r="P79" s="106"/>
      <c r="Q79" s="106"/>
      <c r="R79" s="106"/>
      <c r="S79" s="106"/>
      <c r="T79" s="106"/>
      <c r="U79" s="106"/>
      <c r="V79" s="106"/>
    </row>
    <row r="80" spans="1:22" s="194" customFormat="1" x14ac:dyDescent="0.3">
      <c r="A80" s="194">
        <v>5</v>
      </c>
      <c r="B80" s="195"/>
      <c r="C80" s="250"/>
      <c r="D80" s="250"/>
      <c r="E80" s="250"/>
      <c r="F80" s="250"/>
      <c r="G80" s="250"/>
      <c r="I80" s="197"/>
      <c r="J80" s="197"/>
      <c r="K80" s="285"/>
      <c r="M80" s="198"/>
      <c r="N80" s="198"/>
      <c r="O80" s="198"/>
      <c r="P80" s="198"/>
      <c r="Q80" s="198"/>
      <c r="R80" s="198"/>
      <c r="S80" s="198"/>
      <c r="T80" s="198"/>
      <c r="U80" s="198"/>
      <c r="V80" s="198"/>
    </row>
    <row r="81" spans="1:22" s="185" customFormat="1" x14ac:dyDescent="0.3">
      <c r="B81" s="186" t="s">
        <v>948</v>
      </c>
      <c r="C81" s="248"/>
      <c r="D81" s="248"/>
      <c r="E81" s="248"/>
      <c r="F81" s="248"/>
      <c r="G81" s="248"/>
      <c r="I81" s="188"/>
      <c r="J81" s="188"/>
      <c r="K81" s="283"/>
      <c r="M81" s="189"/>
      <c r="N81" s="189"/>
      <c r="O81" s="189"/>
      <c r="P81" s="189"/>
      <c r="Q81" s="189"/>
      <c r="R81" s="189"/>
      <c r="S81" s="189"/>
      <c r="T81" s="189"/>
      <c r="U81" s="189"/>
      <c r="V81" s="189"/>
    </row>
    <row r="82" spans="1:22" s="190" customFormat="1" x14ac:dyDescent="0.3">
      <c r="A82" s="190">
        <v>1</v>
      </c>
      <c r="B82" s="191"/>
      <c r="C82" s="249"/>
      <c r="D82" s="249"/>
      <c r="E82" s="249"/>
      <c r="F82" s="249"/>
      <c r="G82" s="249"/>
      <c r="I82" s="193"/>
      <c r="J82" s="193"/>
      <c r="K82" s="284"/>
      <c r="M82" s="106"/>
      <c r="N82" s="106"/>
      <c r="O82" s="106"/>
      <c r="P82" s="106"/>
      <c r="Q82" s="106"/>
      <c r="R82" s="106"/>
      <c r="S82" s="106"/>
      <c r="T82" s="106"/>
      <c r="U82" s="106"/>
      <c r="V82" s="106"/>
    </row>
    <row r="83" spans="1:22" s="190" customFormat="1" x14ac:dyDescent="0.3">
      <c r="A83" s="190">
        <v>2</v>
      </c>
      <c r="B83" s="191"/>
      <c r="C83" s="249"/>
      <c r="D83" s="249"/>
      <c r="E83" s="249"/>
      <c r="F83" s="249"/>
      <c r="G83" s="249"/>
      <c r="I83" s="193"/>
      <c r="J83" s="193"/>
      <c r="K83" s="284"/>
      <c r="M83" s="106"/>
      <c r="N83" s="106"/>
      <c r="O83" s="106"/>
      <c r="P83" s="106"/>
      <c r="Q83" s="106"/>
      <c r="R83" s="106"/>
      <c r="S83" s="106"/>
      <c r="T83" s="106"/>
      <c r="U83" s="106"/>
      <c r="V83" s="106"/>
    </row>
    <row r="84" spans="1:22" s="190" customFormat="1" x14ac:dyDescent="0.3">
      <c r="A84" s="190">
        <v>3</v>
      </c>
      <c r="B84" s="191"/>
      <c r="C84" s="249"/>
      <c r="D84" s="249"/>
      <c r="E84" s="249"/>
      <c r="F84" s="249"/>
      <c r="G84" s="249"/>
      <c r="I84" s="193"/>
      <c r="J84" s="193"/>
      <c r="K84" s="284"/>
      <c r="M84" s="106"/>
      <c r="N84" s="106"/>
      <c r="O84" s="106"/>
      <c r="P84" s="106"/>
      <c r="Q84" s="106"/>
      <c r="R84" s="106"/>
      <c r="S84" s="106"/>
      <c r="T84" s="106"/>
      <c r="U84" s="106"/>
      <c r="V84" s="106"/>
    </row>
    <row r="85" spans="1:22" s="190" customFormat="1" x14ac:dyDescent="0.3">
      <c r="A85" s="190">
        <v>4</v>
      </c>
      <c r="B85" s="191"/>
      <c r="C85" s="249"/>
      <c r="D85" s="249"/>
      <c r="E85" s="249"/>
      <c r="F85" s="249"/>
      <c r="G85" s="249"/>
      <c r="I85" s="193"/>
      <c r="J85" s="193"/>
      <c r="K85" s="284"/>
      <c r="M85" s="106"/>
      <c r="N85" s="106"/>
      <c r="O85" s="106"/>
      <c r="P85" s="106"/>
      <c r="Q85" s="106"/>
      <c r="R85" s="106"/>
      <c r="S85" s="106"/>
      <c r="T85" s="106"/>
      <c r="U85" s="106"/>
      <c r="V85" s="106"/>
    </row>
    <row r="86" spans="1:22" s="194" customFormat="1" ht="15" thickBot="1" x14ac:dyDescent="0.35">
      <c r="A86" s="194">
        <v>5</v>
      </c>
      <c r="B86" s="195"/>
      <c r="C86" s="250"/>
      <c r="D86" s="250"/>
      <c r="E86" s="250"/>
      <c r="F86" s="250"/>
      <c r="G86" s="250"/>
      <c r="I86" s="197"/>
      <c r="J86" s="197"/>
      <c r="K86" s="285"/>
      <c r="M86" s="198"/>
      <c r="N86" s="198"/>
      <c r="O86" s="198"/>
      <c r="P86" s="198"/>
      <c r="Q86" s="198"/>
      <c r="R86" s="198"/>
      <c r="S86" s="198"/>
      <c r="T86" s="198"/>
      <c r="U86" s="198"/>
      <c r="V86" s="198"/>
    </row>
    <row r="87" spans="1:22" s="185" customFormat="1" ht="15" thickBot="1" x14ac:dyDescent="0.35">
      <c r="B87" s="186" t="s">
        <v>303</v>
      </c>
      <c r="C87" s="248"/>
      <c r="D87" s="248"/>
      <c r="E87" s="248"/>
      <c r="F87" s="274" t="s">
        <v>1246</v>
      </c>
      <c r="G87" s="275">
        <f>COUNTIF(G88:G94,"YES")</f>
        <v>2</v>
      </c>
      <c r="I87" s="188"/>
      <c r="J87" s="188"/>
      <c r="K87" s="283"/>
      <c r="M87" s="189"/>
      <c r="N87" s="189"/>
      <c r="O87" s="189"/>
      <c r="P87" s="189"/>
      <c r="Q87" s="189"/>
      <c r="R87" s="189"/>
      <c r="S87" s="189"/>
      <c r="T87" s="189"/>
      <c r="U87" s="189"/>
      <c r="V87" s="189"/>
    </row>
    <row r="88" spans="1:22" s="190" customFormat="1" x14ac:dyDescent="0.3">
      <c r="A88" s="190">
        <v>1</v>
      </c>
      <c r="B88" s="237" t="s">
        <v>1205</v>
      </c>
      <c r="C88" s="251" t="s">
        <v>1038</v>
      </c>
      <c r="D88" s="258" t="s">
        <v>1009</v>
      </c>
      <c r="E88" s="258" t="s">
        <v>1038</v>
      </c>
      <c r="F88" s="273" t="s">
        <v>1177</v>
      </c>
      <c r="G88" s="273" t="s">
        <v>1177</v>
      </c>
      <c r="H88" s="190" t="s">
        <v>1212</v>
      </c>
      <c r="I88" s="239" t="s">
        <v>1230</v>
      </c>
      <c r="J88" s="193" t="s">
        <v>1213</v>
      </c>
      <c r="K88" s="284">
        <v>113900</v>
      </c>
      <c r="L88" s="190" t="s">
        <v>1237</v>
      </c>
      <c r="M88" s="106"/>
      <c r="N88" s="106"/>
      <c r="O88" s="106"/>
      <c r="P88" s="106"/>
      <c r="Q88" s="106"/>
      <c r="R88" s="106"/>
      <c r="S88" s="106"/>
      <c r="T88" s="106"/>
      <c r="U88" s="106"/>
      <c r="V88" s="106"/>
    </row>
    <row r="89" spans="1:22" s="190" customFormat="1" x14ac:dyDescent="0.3">
      <c r="A89" s="190">
        <v>2</v>
      </c>
      <c r="B89" s="237" t="s">
        <v>1206</v>
      </c>
      <c r="C89" s="251" t="s">
        <v>1038</v>
      </c>
      <c r="D89" s="258" t="s">
        <v>1008</v>
      </c>
      <c r="E89" s="258" t="s">
        <v>1038</v>
      </c>
      <c r="F89" s="258" t="s">
        <v>1038</v>
      </c>
      <c r="G89" s="258" t="s">
        <v>1038</v>
      </c>
      <c r="H89" s="190" t="s">
        <v>1214</v>
      </c>
      <c r="I89" s="240" t="s">
        <v>1215</v>
      </c>
      <c r="J89" s="193"/>
      <c r="K89" s="284"/>
      <c r="L89" s="190" t="s">
        <v>1258</v>
      </c>
      <c r="M89" s="106"/>
      <c r="N89" s="106"/>
      <c r="O89" s="106"/>
      <c r="P89" s="106"/>
      <c r="Q89" s="106"/>
      <c r="R89" s="106"/>
      <c r="S89" s="106"/>
      <c r="T89" s="106"/>
      <c r="U89" s="106"/>
      <c r="V89" s="106"/>
    </row>
    <row r="90" spans="1:22" s="190" customFormat="1" x14ac:dyDescent="0.3">
      <c r="A90" s="190">
        <v>3</v>
      </c>
      <c r="B90" s="237" t="s">
        <v>1207</v>
      </c>
      <c r="C90" s="251" t="s">
        <v>1038</v>
      </c>
      <c r="D90" s="258" t="s">
        <v>1009</v>
      </c>
      <c r="E90" s="258" t="s">
        <v>1038</v>
      </c>
      <c r="F90" s="258" t="s">
        <v>1177</v>
      </c>
      <c r="G90" s="258" t="s">
        <v>1177</v>
      </c>
      <c r="H90" s="190" t="s">
        <v>1216</v>
      </c>
      <c r="I90" s="239" t="s">
        <v>1229</v>
      </c>
      <c r="J90" s="193" t="s">
        <v>1217</v>
      </c>
      <c r="K90" s="284">
        <v>108470</v>
      </c>
      <c r="L90" s="190" t="s">
        <v>1238</v>
      </c>
      <c r="M90" s="106"/>
      <c r="N90" s="106"/>
      <c r="O90" s="106"/>
      <c r="P90" s="106"/>
      <c r="Q90" s="106"/>
      <c r="R90" s="106"/>
      <c r="S90" s="106"/>
      <c r="T90" s="106"/>
      <c r="U90" s="106"/>
      <c r="V90" s="106"/>
    </row>
    <row r="91" spans="1:22" s="190" customFormat="1" x14ac:dyDescent="0.3">
      <c r="A91" s="190">
        <v>4</v>
      </c>
      <c r="B91" s="237" t="s">
        <v>1208</v>
      </c>
      <c r="C91" s="251" t="s">
        <v>1038</v>
      </c>
      <c r="D91" s="258" t="s">
        <v>1009</v>
      </c>
      <c r="E91" s="258" t="s">
        <v>1038</v>
      </c>
      <c r="F91" s="258" t="s">
        <v>1177</v>
      </c>
      <c r="G91" s="258" t="s">
        <v>1038</v>
      </c>
      <c r="H91" s="190" t="s">
        <v>1218</v>
      </c>
      <c r="I91" s="239" t="s">
        <v>1228</v>
      </c>
      <c r="J91" s="193" t="s">
        <v>1219</v>
      </c>
      <c r="K91" s="284"/>
      <c r="L91" s="190" t="s">
        <v>1269</v>
      </c>
      <c r="M91" s="106"/>
      <c r="N91" s="106"/>
      <c r="O91" s="106"/>
      <c r="P91" s="106"/>
      <c r="Q91" s="106"/>
      <c r="R91" s="106"/>
      <c r="S91" s="106"/>
      <c r="T91" s="106"/>
      <c r="U91" s="106"/>
      <c r="V91" s="106"/>
    </row>
    <row r="92" spans="1:22" s="194" customFormat="1" x14ac:dyDescent="0.3">
      <c r="A92" s="194">
        <v>5</v>
      </c>
      <c r="B92" s="238" t="s">
        <v>1209</v>
      </c>
      <c r="C92" s="251" t="s">
        <v>1038</v>
      </c>
      <c r="D92" s="259" t="s">
        <v>1011</v>
      </c>
      <c r="E92" s="259" t="s">
        <v>1038</v>
      </c>
      <c r="F92" s="259" t="s">
        <v>1177</v>
      </c>
      <c r="G92" s="259" t="s">
        <v>1038</v>
      </c>
      <c r="H92" s="194" t="s">
        <v>1220</v>
      </c>
      <c r="I92" s="240" t="s">
        <v>1227</v>
      </c>
      <c r="J92" s="197" t="s">
        <v>1221</v>
      </c>
      <c r="K92" s="285"/>
      <c r="L92" s="194" t="s">
        <v>1232</v>
      </c>
      <c r="M92" s="198"/>
      <c r="N92" s="198"/>
      <c r="O92" s="198"/>
      <c r="P92" s="198"/>
      <c r="Q92" s="198"/>
      <c r="R92" s="198"/>
      <c r="S92" s="198"/>
      <c r="T92" s="198"/>
      <c r="U92" s="198"/>
      <c r="V92" s="198"/>
    </row>
    <row r="93" spans="1:22" s="194" customFormat="1" x14ac:dyDescent="0.3">
      <c r="A93" s="194">
        <v>6</v>
      </c>
      <c r="B93" s="238" t="s">
        <v>1210</v>
      </c>
      <c r="C93" s="251" t="s">
        <v>1038</v>
      </c>
      <c r="D93" s="259" t="s">
        <v>1009</v>
      </c>
      <c r="E93" s="259" t="s">
        <v>1038</v>
      </c>
      <c r="F93" s="259" t="s">
        <v>1177</v>
      </c>
      <c r="G93" s="259" t="s">
        <v>1038</v>
      </c>
      <c r="H93" s="194" t="s">
        <v>1222</v>
      </c>
      <c r="I93" s="240" t="s">
        <v>1226</v>
      </c>
      <c r="J93" s="197" t="s">
        <v>1223</v>
      </c>
      <c r="K93" s="285"/>
      <c r="L93" s="194" t="s">
        <v>1239</v>
      </c>
      <c r="M93" s="198"/>
      <c r="N93" s="198"/>
      <c r="O93" s="198"/>
      <c r="P93" s="198"/>
      <c r="Q93" s="198"/>
      <c r="R93" s="198"/>
      <c r="S93" s="198"/>
      <c r="T93" s="198"/>
      <c r="U93" s="198"/>
      <c r="V93" s="198"/>
    </row>
    <row r="94" spans="1:22" s="194" customFormat="1" ht="15" thickBot="1" x14ac:dyDescent="0.35">
      <c r="A94" s="194">
        <v>7</v>
      </c>
      <c r="B94" s="237" t="s">
        <v>1211</v>
      </c>
      <c r="C94" s="251" t="s">
        <v>1177</v>
      </c>
      <c r="D94" s="258" t="s">
        <v>1009</v>
      </c>
      <c r="E94" s="258" t="s">
        <v>1038</v>
      </c>
      <c r="F94" s="259" t="s">
        <v>1177</v>
      </c>
      <c r="G94" s="259" t="s">
        <v>1038</v>
      </c>
      <c r="H94" s="194" t="s">
        <v>1224</v>
      </c>
      <c r="I94" s="240" t="s">
        <v>1225</v>
      </c>
      <c r="J94" s="197" t="s">
        <v>1231</v>
      </c>
      <c r="K94" s="285"/>
      <c r="L94" s="194" t="s">
        <v>1256</v>
      </c>
      <c r="M94" s="198"/>
      <c r="N94" s="198"/>
      <c r="O94" s="198"/>
      <c r="P94" s="198"/>
      <c r="Q94" s="198"/>
      <c r="R94" s="198"/>
      <c r="S94" s="198"/>
      <c r="T94" s="198"/>
      <c r="U94" s="198"/>
      <c r="V94" s="198"/>
    </row>
    <row r="95" spans="1:22" s="185" customFormat="1" ht="15" thickBot="1" x14ac:dyDescent="0.35">
      <c r="B95" s="186" t="s">
        <v>305</v>
      </c>
      <c r="C95" s="248"/>
      <c r="D95" s="248"/>
      <c r="E95" s="248"/>
      <c r="F95" s="274" t="s">
        <v>1246</v>
      </c>
      <c r="G95" s="275">
        <f>COUNTIF(G96:G106,"YES")</f>
        <v>5</v>
      </c>
      <c r="I95" s="188"/>
      <c r="J95" s="188"/>
      <c r="K95" s="283"/>
      <c r="M95" s="189"/>
      <c r="N95" s="189"/>
      <c r="O95" s="189"/>
      <c r="P95" s="189"/>
      <c r="Q95" s="189"/>
      <c r="R95" s="189"/>
      <c r="S95" s="189"/>
      <c r="T95" s="189"/>
      <c r="U95" s="189"/>
      <c r="V95" s="189"/>
    </row>
    <row r="96" spans="1:22" s="190" customFormat="1" x14ac:dyDescent="0.3">
      <c r="A96" s="241">
        <v>1</v>
      </c>
      <c r="B96" s="121" t="s">
        <v>991</v>
      </c>
      <c r="C96" s="251" t="s">
        <v>1177</v>
      </c>
      <c r="D96" s="256" t="s">
        <v>1009</v>
      </c>
      <c r="E96" s="249" t="s">
        <v>1177</v>
      </c>
      <c r="F96" s="273" t="s">
        <v>1038</v>
      </c>
      <c r="G96" s="273" t="s">
        <v>1177</v>
      </c>
      <c r="H96" s="190" t="s">
        <v>1064</v>
      </c>
      <c r="I96" s="239" t="s">
        <v>1065</v>
      </c>
      <c r="J96" s="193" t="s">
        <v>1066</v>
      </c>
      <c r="K96" s="284">
        <v>270000</v>
      </c>
      <c r="M96" s="106" t="s">
        <v>378</v>
      </c>
      <c r="N96" s="106"/>
      <c r="O96" s="106"/>
      <c r="P96" s="106"/>
      <c r="Q96" s="106"/>
      <c r="R96" s="106"/>
      <c r="S96" s="106"/>
      <c r="T96" s="106"/>
      <c r="U96" s="106"/>
      <c r="V96" s="106"/>
    </row>
    <row r="97" spans="1:22" s="190" customFormat="1" x14ac:dyDescent="0.3">
      <c r="A97" s="246">
        <v>2</v>
      </c>
      <c r="B97" s="121" t="s">
        <v>992</v>
      </c>
      <c r="C97" s="251" t="s">
        <v>1177</v>
      </c>
      <c r="D97" s="256" t="s">
        <v>1009</v>
      </c>
      <c r="E97" s="249" t="s">
        <v>1177</v>
      </c>
      <c r="F97" s="258" t="s">
        <v>1038</v>
      </c>
      <c r="G97" s="258" t="s">
        <v>1177</v>
      </c>
      <c r="H97" s="190" t="s">
        <v>1067</v>
      </c>
      <c r="I97" s="239" t="s">
        <v>1068</v>
      </c>
      <c r="J97" s="193" t="s">
        <v>1069</v>
      </c>
      <c r="K97" s="284">
        <v>194100</v>
      </c>
      <c r="L97" s="190" t="s">
        <v>1244</v>
      </c>
      <c r="M97" s="106" t="s">
        <v>378</v>
      </c>
      <c r="N97" s="106"/>
      <c r="O97" s="106"/>
      <c r="P97" s="106"/>
      <c r="Q97" s="106"/>
      <c r="R97" s="106"/>
      <c r="S97" s="106"/>
      <c r="T97" s="106"/>
      <c r="U97" s="106"/>
      <c r="V97" s="106"/>
    </row>
    <row r="98" spans="1:22" s="190" customFormat="1" x14ac:dyDescent="0.3">
      <c r="A98" s="241">
        <v>3</v>
      </c>
      <c r="B98" s="121" t="s">
        <v>993</v>
      </c>
      <c r="C98" s="251" t="s">
        <v>1177</v>
      </c>
      <c r="D98" s="256" t="s">
        <v>1009</v>
      </c>
      <c r="E98" s="249" t="s">
        <v>1177</v>
      </c>
      <c r="F98" s="258" t="s">
        <v>1038</v>
      </c>
      <c r="G98" s="258" t="s">
        <v>1177</v>
      </c>
      <c r="H98" s="190" t="s">
        <v>1070</v>
      </c>
      <c r="I98" s="239" t="s">
        <v>1071</v>
      </c>
      <c r="J98" s="193" t="s">
        <v>1072</v>
      </c>
      <c r="K98" s="291">
        <v>625200</v>
      </c>
      <c r="L98" s="190" t="s">
        <v>1272</v>
      </c>
      <c r="M98" s="106" t="s">
        <v>378</v>
      </c>
      <c r="N98" s="106"/>
      <c r="O98" s="106"/>
      <c r="P98" s="106"/>
      <c r="Q98" s="106"/>
      <c r="R98" s="106"/>
      <c r="S98" s="106"/>
      <c r="T98" s="106"/>
      <c r="U98" s="106"/>
      <c r="V98" s="106"/>
    </row>
    <row r="99" spans="1:22" s="190" customFormat="1" x14ac:dyDescent="0.3">
      <c r="A99" s="246">
        <v>4</v>
      </c>
      <c r="B99" s="121" t="s">
        <v>1010</v>
      </c>
      <c r="C99" s="251" t="s">
        <v>1177</v>
      </c>
      <c r="D99" s="256" t="s">
        <v>1009</v>
      </c>
      <c r="E99" s="249" t="s">
        <v>1177</v>
      </c>
      <c r="F99" s="258" t="s">
        <v>1038</v>
      </c>
      <c r="G99" s="258" t="s">
        <v>1177</v>
      </c>
      <c r="H99" s="190" t="s">
        <v>1073</v>
      </c>
      <c r="I99" s="239" t="s">
        <v>1074</v>
      </c>
      <c r="J99" s="193" t="s">
        <v>1075</v>
      </c>
      <c r="K99" s="284">
        <v>315775</v>
      </c>
      <c r="M99" s="106"/>
      <c r="N99" s="106"/>
      <c r="O99" s="106"/>
      <c r="P99" s="106"/>
      <c r="Q99" s="106"/>
      <c r="R99" s="106"/>
      <c r="S99" s="106"/>
      <c r="T99" s="106"/>
      <c r="U99" s="106"/>
      <c r="V99" s="106"/>
    </row>
    <row r="100" spans="1:22" s="190" customFormat="1" x14ac:dyDescent="0.3">
      <c r="A100" s="190">
        <v>5</v>
      </c>
      <c r="B100" s="121" t="s">
        <v>994</v>
      </c>
      <c r="C100" s="251" t="s">
        <v>1038</v>
      </c>
      <c r="D100" s="256" t="s">
        <v>1011</v>
      </c>
      <c r="E100" s="249" t="s">
        <v>1038</v>
      </c>
      <c r="F100" s="258" t="s">
        <v>1179</v>
      </c>
      <c r="G100" s="258" t="s">
        <v>1038</v>
      </c>
      <c r="H100" s="190" t="s">
        <v>1076</v>
      </c>
      <c r="I100" s="239" t="s">
        <v>1077</v>
      </c>
      <c r="J100" s="193" t="s">
        <v>1078</v>
      </c>
      <c r="K100" s="284"/>
      <c r="M100" s="106" t="s">
        <v>378</v>
      </c>
      <c r="N100" s="106"/>
      <c r="O100" s="106"/>
      <c r="P100" s="106"/>
      <c r="Q100" s="106"/>
      <c r="R100" s="106"/>
      <c r="S100" s="106"/>
      <c r="T100" s="106"/>
      <c r="U100" s="106"/>
      <c r="V100" s="106"/>
    </row>
    <row r="101" spans="1:22" s="194" customFormat="1" x14ac:dyDescent="0.3">
      <c r="A101" s="190">
        <v>6</v>
      </c>
      <c r="B101" s="244" t="s">
        <v>995</v>
      </c>
      <c r="C101" s="252" t="s">
        <v>1038</v>
      </c>
      <c r="D101" s="257" t="s">
        <v>1011</v>
      </c>
      <c r="E101" s="249" t="s">
        <v>1038</v>
      </c>
      <c r="F101" s="258" t="s">
        <v>1038</v>
      </c>
      <c r="G101" s="258" t="s">
        <v>1038</v>
      </c>
      <c r="H101" s="194" t="s">
        <v>1079</v>
      </c>
      <c r="I101" s="240" t="s">
        <v>1080</v>
      </c>
      <c r="J101" s="197" t="s">
        <v>1081</v>
      </c>
      <c r="K101" s="285"/>
      <c r="M101" s="106" t="s">
        <v>378</v>
      </c>
      <c r="N101" s="198"/>
      <c r="O101" s="198"/>
      <c r="P101" s="198"/>
      <c r="Q101" s="198"/>
      <c r="R101" s="198"/>
      <c r="S101" s="198"/>
      <c r="T101" s="198"/>
      <c r="U101" s="198"/>
      <c r="V101" s="198"/>
    </row>
    <row r="102" spans="1:22" s="194" customFormat="1" x14ac:dyDescent="0.3">
      <c r="A102" s="190">
        <v>7</v>
      </c>
      <c r="B102" s="244" t="s">
        <v>996</v>
      </c>
      <c r="C102" s="252" t="s">
        <v>1038</v>
      </c>
      <c r="D102" s="257" t="s">
        <v>1008</v>
      </c>
      <c r="E102" s="249" t="s">
        <v>1038</v>
      </c>
      <c r="F102" s="258" t="s">
        <v>1179</v>
      </c>
      <c r="G102" s="258" t="s">
        <v>1038</v>
      </c>
      <c r="H102" s="194" t="s">
        <v>1082</v>
      </c>
      <c r="I102" s="240" t="s">
        <v>1083</v>
      </c>
      <c r="J102" s="197" t="s">
        <v>1084</v>
      </c>
      <c r="K102" s="285"/>
      <c r="M102" s="106" t="s">
        <v>378</v>
      </c>
      <c r="N102" s="198"/>
      <c r="O102" s="198"/>
      <c r="P102" s="198"/>
      <c r="Q102" s="198"/>
      <c r="R102" s="198"/>
      <c r="S102" s="198"/>
      <c r="T102" s="198"/>
      <c r="U102" s="198"/>
      <c r="V102" s="198"/>
    </row>
    <row r="103" spans="1:22" s="194" customFormat="1" x14ac:dyDescent="0.3">
      <c r="A103" s="190">
        <v>8</v>
      </c>
      <c r="B103" s="244" t="s">
        <v>997</v>
      </c>
      <c r="C103" s="252" t="s">
        <v>1038</v>
      </c>
      <c r="D103" s="257" t="s">
        <v>1009</v>
      </c>
      <c r="E103" s="249" t="s">
        <v>1038</v>
      </c>
      <c r="F103" s="258" t="s">
        <v>1179</v>
      </c>
      <c r="G103" s="258" t="s">
        <v>1177</v>
      </c>
      <c r="H103" s="194" t="s">
        <v>1085</v>
      </c>
      <c r="I103" s="240" t="s">
        <v>1086</v>
      </c>
      <c r="J103" s="197" t="s">
        <v>1087</v>
      </c>
      <c r="K103" s="285">
        <v>366768</v>
      </c>
      <c r="L103" s="194" t="s">
        <v>1265</v>
      </c>
      <c r="M103" s="106" t="s">
        <v>378</v>
      </c>
      <c r="N103" s="198"/>
      <c r="O103" s="198"/>
      <c r="P103" s="198"/>
      <c r="Q103" s="198"/>
      <c r="R103" s="198"/>
      <c r="S103" s="198"/>
      <c r="T103" s="198"/>
      <c r="U103" s="198"/>
      <c r="V103" s="198"/>
    </row>
    <row r="104" spans="1:22" s="194" customFormat="1" x14ac:dyDescent="0.3">
      <c r="A104" s="190">
        <v>9</v>
      </c>
      <c r="B104" s="244" t="s">
        <v>998</v>
      </c>
      <c r="C104" s="252" t="s">
        <v>1038</v>
      </c>
      <c r="D104" s="257" t="s">
        <v>1008</v>
      </c>
      <c r="E104" s="249" t="s">
        <v>1038</v>
      </c>
      <c r="F104" s="258" t="s">
        <v>1179</v>
      </c>
      <c r="G104" s="258" t="s">
        <v>1038</v>
      </c>
      <c r="H104" s="194" t="s">
        <v>1088</v>
      </c>
      <c r="I104" s="240" t="s">
        <v>1089</v>
      </c>
      <c r="J104" s="197" t="s">
        <v>1090</v>
      </c>
      <c r="K104" s="285"/>
      <c r="M104" s="106" t="s">
        <v>378</v>
      </c>
      <c r="N104" s="198"/>
      <c r="O104" s="198"/>
      <c r="P104" s="198"/>
      <c r="Q104" s="198"/>
      <c r="R104" s="198"/>
      <c r="S104" s="198"/>
      <c r="T104" s="198"/>
      <c r="U104" s="198"/>
      <c r="V104" s="198"/>
    </row>
    <row r="105" spans="1:22" s="194" customFormat="1" x14ac:dyDescent="0.3">
      <c r="A105" s="190">
        <v>10</v>
      </c>
      <c r="B105" s="244" t="s">
        <v>999</v>
      </c>
      <c r="C105" s="252" t="s">
        <v>1038</v>
      </c>
      <c r="D105" s="257" t="s">
        <v>1011</v>
      </c>
      <c r="E105" s="249" t="s">
        <v>1038</v>
      </c>
      <c r="F105" s="258" t="s">
        <v>1178</v>
      </c>
      <c r="G105" s="258" t="s">
        <v>1038</v>
      </c>
      <c r="H105" s="194" t="s">
        <v>1091</v>
      </c>
      <c r="I105" s="240" t="s">
        <v>1092</v>
      </c>
      <c r="J105" s="197" t="s">
        <v>1192</v>
      </c>
      <c r="K105" s="285"/>
      <c r="L105" s="194" t="s">
        <v>1266</v>
      </c>
      <c r="M105" s="106" t="s">
        <v>378</v>
      </c>
      <c r="N105" s="198"/>
      <c r="O105" s="198"/>
      <c r="P105" s="198"/>
      <c r="Q105" s="198"/>
      <c r="R105" s="198"/>
      <c r="S105" s="198"/>
      <c r="T105" s="198"/>
      <c r="U105" s="198"/>
      <c r="V105" s="198"/>
    </row>
    <row r="106" spans="1:22" s="194" customFormat="1" ht="15" thickBot="1" x14ac:dyDescent="0.35">
      <c r="A106" s="190">
        <v>11</v>
      </c>
      <c r="B106" s="121" t="s">
        <v>1012</v>
      </c>
      <c r="C106" s="251" t="s">
        <v>1038</v>
      </c>
      <c r="D106" s="256" t="s">
        <v>1008</v>
      </c>
      <c r="E106" s="249" t="s">
        <v>1038</v>
      </c>
      <c r="F106" s="259" t="s">
        <v>1179</v>
      </c>
      <c r="G106" s="259" t="s">
        <v>1038</v>
      </c>
      <c r="H106" s="194" t="s">
        <v>1094</v>
      </c>
      <c r="I106" s="240" t="s">
        <v>1095</v>
      </c>
      <c r="J106" s="197" t="s">
        <v>1096</v>
      </c>
      <c r="K106" s="285"/>
      <c r="M106" s="106" t="s">
        <v>378</v>
      </c>
      <c r="N106" s="198"/>
      <c r="O106" s="198"/>
      <c r="P106" s="198"/>
      <c r="Q106" s="198"/>
      <c r="R106" s="198"/>
      <c r="S106" s="198"/>
      <c r="T106" s="198"/>
      <c r="U106" s="198"/>
      <c r="V106" s="198"/>
    </row>
    <row r="107" spans="1:22" s="185" customFormat="1" ht="15" thickBot="1" x14ac:dyDescent="0.35">
      <c r="B107" s="186" t="s">
        <v>309</v>
      </c>
      <c r="C107" s="248"/>
      <c r="D107" s="248"/>
      <c r="E107" s="248"/>
      <c r="F107" s="274" t="s">
        <v>1246</v>
      </c>
      <c r="G107" s="275">
        <f>COUNTIF(G108:G118,"Yes")</f>
        <v>4</v>
      </c>
      <c r="I107" s="188"/>
      <c r="J107" s="188"/>
      <c r="K107" s="283"/>
      <c r="M107" s="189"/>
      <c r="N107" s="189"/>
      <c r="O107" s="189"/>
      <c r="P107" s="189"/>
      <c r="Q107" s="189"/>
      <c r="R107" s="189"/>
      <c r="S107" s="189"/>
      <c r="T107" s="189"/>
      <c r="U107" s="189"/>
      <c r="V107" s="189"/>
    </row>
    <row r="108" spans="1:22" s="190" customFormat="1" x14ac:dyDescent="0.3">
      <c r="A108" s="246">
        <v>1</v>
      </c>
      <c r="B108" s="121" t="s">
        <v>1000</v>
      </c>
      <c r="C108" s="251" t="s">
        <v>1177</v>
      </c>
      <c r="D108" s="256" t="s">
        <v>1009</v>
      </c>
      <c r="E108" s="258" t="s">
        <v>1177</v>
      </c>
      <c r="F108" s="273" t="s">
        <v>1038</v>
      </c>
      <c r="G108" s="273" t="s">
        <v>1177</v>
      </c>
      <c r="H108" s="190" t="s">
        <v>1097</v>
      </c>
      <c r="I108" s="239" t="s">
        <v>1098</v>
      </c>
      <c r="J108" s="193" t="s">
        <v>1099</v>
      </c>
      <c r="K108" s="284">
        <v>400000</v>
      </c>
      <c r="M108" s="106" t="s">
        <v>379</v>
      </c>
      <c r="N108" s="106"/>
      <c r="O108" s="106"/>
      <c r="P108" s="106"/>
      <c r="Q108" s="106"/>
      <c r="R108" s="106"/>
      <c r="S108" s="106"/>
      <c r="T108" s="106"/>
      <c r="U108" s="106"/>
      <c r="V108" s="106"/>
    </row>
    <row r="109" spans="1:22" s="190" customFormat="1" x14ac:dyDescent="0.3">
      <c r="A109" s="241">
        <v>2</v>
      </c>
      <c r="B109" s="121" t="s">
        <v>991</v>
      </c>
      <c r="C109" s="251" t="s">
        <v>1177</v>
      </c>
      <c r="D109" s="256" t="s">
        <v>1009</v>
      </c>
      <c r="E109" s="258" t="s">
        <v>1177</v>
      </c>
      <c r="F109" s="258" t="s">
        <v>1038</v>
      </c>
      <c r="G109" s="258" t="s">
        <v>1177</v>
      </c>
      <c r="H109" s="190" t="s">
        <v>1100</v>
      </c>
      <c r="I109" s="239" t="s">
        <v>1101</v>
      </c>
      <c r="J109" s="193" t="s">
        <v>1102</v>
      </c>
      <c r="K109" s="284">
        <v>204000</v>
      </c>
      <c r="M109" s="106" t="s">
        <v>379</v>
      </c>
      <c r="N109" s="106"/>
      <c r="O109" s="106"/>
      <c r="P109" s="106"/>
      <c r="Q109" s="106"/>
      <c r="R109" s="106"/>
      <c r="S109" s="106"/>
      <c r="T109" s="106"/>
      <c r="U109" s="106"/>
      <c r="V109" s="106"/>
    </row>
    <row r="110" spans="1:22" s="190" customFormat="1" x14ac:dyDescent="0.3">
      <c r="A110" s="241">
        <v>3</v>
      </c>
      <c r="B110" s="121" t="s">
        <v>993</v>
      </c>
      <c r="C110" s="251" t="s">
        <v>1177</v>
      </c>
      <c r="D110" s="256" t="s">
        <v>1009</v>
      </c>
      <c r="E110" s="258" t="s">
        <v>1177</v>
      </c>
      <c r="F110" s="258" t="s">
        <v>1038</v>
      </c>
      <c r="G110" s="258" t="s">
        <v>1177</v>
      </c>
      <c r="H110" s="190" t="s">
        <v>1253</v>
      </c>
      <c r="I110" s="239" t="s">
        <v>1071</v>
      </c>
      <c r="J110" s="193" t="s">
        <v>1072</v>
      </c>
      <c r="K110" s="291">
        <v>625200</v>
      </c>
      <c r="M110" s="106" t="s">
        <v>379</v>
      </c>
      <c r="N110" s="106"/>
      <c r="O110" s="106"/>
      <c r="P110" s="106"/>
      <c r="Q110" s="106"/>
      <c r="R110" s="106"/>
      <c r="S110" s="106"/>
      <c r="T110" s="106"/>
      <c r="U110" s="106"/>
      <c r="V110" s="106"/>
    </row>
    <row r="111" spans="1:22" s="190" customFormat="1" x14ac:dyDescent="0.3">
      <c r="A111" s="190">
        <v>4</v>
      </c>
      <c r="B111" s="121" t="s">
        <v>994</v>
      </c>
      <c r="C111" s="251" t="s">
        <v>1038</v>
      </c>
      <c r="D111" s="256" t="s">
        <v>1011</v>
      </c>
      <c r="E111" s="258" t="s">
        <v>1038</v>
      </c>
      <c r="F111" s="258" t="s">
        <v>1179</v>
      </c>
      <c r="G111" s="258" t="s">
        <v>1038</v>
      </c>
      <c r="H111" s="190" t="s">
        <v>1103</v>
      </c>
      <c r="I111" s="239" t="s">
        <v>1077</v>
      </c>
      <c r="J111" s="193" t="s">
        <v>1078</v>
      </c>
      <c r="K111" s="284"/>
      <c r="M111" s="106" t="s">
        <v>379</v>
      </c>
      <c r="N111" s="106"/>
      <c r="O111" s="106"/>
      <c r="P111" s="106"/>
      <c r="Q111" s="106"/>
      <c r="R111" s="106"/>
      <c r="S111" s="106"/>
      <c r="T111" s="106"/>
      <c r="U111" s="106"/>
      <c r="V111" s="106"/>
    </row>
    <row r="112" spans="1:22" s="194" customFormat="1" x14ac:dyDescent="0.3">
      <c r="A112" s="194">
        <v>5</v>
      </c>
      <c r="B112" s="244" t="s">
        <v>995</v>
      </c>
      <c r="C112" s="252" t="s">
        <v>1038</v>
      </c>
      <c r="D112" s="257" t="s">
        <v>1011</v>
      </c>
      <c r="E112" s="258" t="s">
        <v>1038</v>
      </c>
      <c r="F112" s="258" t="s">
        <v>1038</v>
      </c>
      <c r="G112" s="258" t="s">
        <v>1038</v>
      </c>
      <c r="H112" s="194" t="s">
        <v>1079</v>
      </c>
      <c r="I112" s="240" t="s">
        <v>1080</v>
      </c>
      <c r="J112" s="197" t="s">
        <v>1081</v>
      </c>
      <c r="K112" s="285"/>
      <c r="M112" s="106" t="s">
        <v>379</v>
      </c>
      <c r="N112" s="198"/>
      <c r="O112" s="198"/>
      <c r="P112" s="198"/>
      <c r="Q112" s="198"/>
      <c r="R112" s="198"/>
      <c r="S112" s="198"/>
      <c r="T112" s="198"/>
      <c r="U112" s="198"/>
      <c r="V112" s="198"/>
    </row>
    <row r="113" spans="1:22" s="194" customFormat="1" x14ac:dyDescent="0.3">
      <c r="A113" s="194">
        <v>6</v>
      </c>
      <c r="B113" s="244" t="s">
        <v>996</v>
      </c>
      <c r="C113" s="252" t="s">
        <v>1038</v>
      </c>
      <c r="D113" s="257" t="s">
        <v>1008</v>
      </c>
      <c r="E113" s="258" t="s">
        <v>1038</v>
      </c>
      <c r="F113" s="258" t="s">
        <v>1179</v>
      </c>
      <c r="G113" s="258" t="s">
        <v>1038</v>
      </c>
      <c r="H113" s="194" t="s">
        <v>1104</v>
      </c>
      <c r="I113" s="240" t="s">
        <v>1105</v>
      </c>
      <c r="J113" s="197" t="s">
        <v>1106</v>
      </c>
      <c r="K113" s="285"/>
      <c r="M113" s="106" t="s">
        <v>379</v>
      </c>
      <c r="N113" s="198"/>
      <c r="O113" s="198"/>
      <c r="P113" s="198"/>
      <c r="Q113" s="198"/>
      <c r="R113" s="198"/>
      <c r="S113" s="198"/>
      <c r="T113" s="198"/>
      <c r="U113" s="198"/>
      <c r="V113" s="198"/>
    </row>
    <row r="114" spans="1:22" s="194" customFormat="1" x14ac:dyDescent="0.3">
      <c r="A114" s="194">
        <v>7</v>
      </c>
      <c r="B114" s="244" t="s">
        <v>998</v>
      </c>
      <c r="C114" s="252" t="s">
        <v>1038</v>
      </c>
      <c r="D114" s="257" t="s">
        <v>1008</v>
      </c>
      <c r="E114" s="258" t="s">
        <v>1038</v>
      </c>
      <c r="F114" s="258" t="s">
        <v>1179</v>
      </c>
      <c r="G114" s="258" t="s">
        <v>1038</v>
      </c>
      <c r="H114" s="194" t="s">
        <v>1107</v>
      </c>
      <c r="I114" s="240" t="s">
        <v>1108</v>
      </c>
      <c r="J114" s="197" t="s">
        <v>1109</v>
      </c>
      <c r="K114" s="285"/>
      <c r="M114" s="106" t="s">
        <v>379</v>
      </c>
      <c r="N114" s="198"/>
      <c r="O114" s="198"/>
      <c r="P114" s="198"/>
      <c r="Q114" s="198"/>
      <c r="R114" s="198"/>
      <c r="S114" s="198"/>
      <c r="T114" s="198"/>
      <c r="U114" s="198"/>
      <c r="V114" s="198"/>
    </row>
    <row r="115" spans="1:22" s="194" customFormat="1" x14ac:dyDescent="0.3">
      <c r="A115" s="194">
        <v>8</v>
      </c>
      <c r="B115" s="244" t="s">
        <v>999</v>
      </c>
      <c r="C115" s="252" t="s">
        <v>1038</v>
      </c>
      <c r="D115" s="257" t="s">
        <v>1011</v>
      </c>
      <c r="E115" s="258" t="s">
        <v>1038</v>
      </c>
      <c r="F115" s="258" t="s">
        <v>1178</v>
      </c>
      <c r="G115" s="258" t="s">
        <v>1038</v>
      </c>
      <c r="H115" s="194" t="s">
        <v>1091</v>
      </c>
      <c r="I115" s="240" t="s">
        <v>1092</v>
      </c>
      <c r="J115" s="197" t="s">
        <v>1093</v>
      </c>
      <c r="K115" s="285"/>
      <c r="L115" s="194" t="s">
        <v>1193</v>
      </c>
      <c r="M115" s="106" t="s">
        <v>379</v>
      </c>
      <c r="N115" s="198"/>
      <c r="O115" s="198"/>
      <c r="P115" s="198"/>
      <c r="Q115" s="198"/>
      <c r="R115" s="198"/>
      <c r="S115" s="198"/>
      <c r="T115" s="198"/>
      <c r="U115" s="198"/>
      <c r="V115" s="198"/>
    </row>
    <row r="116" spans="1:22" s="194" customFormat="1" x14ac:dyDescent="0.3">
      <c r="A116" s="194">
        <v>9</v>
      </c>
      <c r="B116" s="244" t="s">
        <v>1012</v>
      </c>
      <c r="C116" s="252" t="s">
        <v>1038</v>
      </c>
      <c r="D116" s="257" t="s">
        <v>1008</v>
      </c>
      <c r="E116" s="258" t="s">
        <v>1038</v>
      </c>
      <c r="F116" s="258" t="s">
        <v>1179</v>
      </c>
      <c r="G116" s="258" t="s">
        <v>1038</v>
      </c>
      <c r="H116" s="194" t="s">
        <v>1110</v>
      </c>
      <c r="I116" s="240" t="s">
        <v>1111</v>
      </c>
      <c r="J116" s="197" t="s">
        <v>1112</v>
      </c>
      <c r="K116" s="285"/>
      <c r="M116" s="106" t="s">
        <v>379</v>
      </c>
      <c r="N116" s="198"/>
      <c r="O116" s="198"/>
      <c r="P116" s="198"/>
      <c r="Q116" s="198"/>
      <c r="R116" s="198"/>
      <c r="S116" s="198"/>
      <c r="T116" s="198"/>
      <c r="U116" s="198"/>
      <c r="V116" s="198"/>
    </row>
    <row r="117" spans="1:22" s="194" customFormat="1" x14ac:dyDescent="0.3">
      <c r="A117" s="194">
        <v>10</v>
      </c>
      <c r="B117" s="244" t="s">
        <v>1001</v>
      </c>
      <c r="C117" s="252" t="s">
        <v>1038</v>
      </c>
      <c r="D117" s="257" t="s">
        <v>1008</v>
      </c>
      <c r="E117" s="258" t="s">
        <v>1038</v>
      </c>
      <c r="F117" s="258" t="s">
        <v>1179</v>
      </c>
      <c r="G117" s="258" t="s">
        <v>1038</v>
      </c>
      <c r="H117" s="194" t="s">
        <v>1113</v>
      </c>
      <c r="I117" s="240" t="s">
        <v>1114</v>
      </c>
      <c r="J117" s="197" t="s">
        <v>1115</v>
      </c>
      <c r="K117" s="285"/>
      <c r="M117" s="106" t="s">
        <v>379</v>
      </c>
      <c r="N117" s="198"/>
      <c r="O117" s="198"/>
      <c r="P117" s="198"/>
      <c r="Q117" s="198"/>
      <c r="R117" s="198"/>
      <c r="S117" s="198"/>
      <c r="T117" s="198"/>
      <c r="U117" s="198"/>
      <c r="V117" s="198"/>
    </row>
    <row r="118" spans="1:22" s="194" customFormat="1" x14ac:dyDescent="0.3">
      <c r="A118" s="194">
        <v>11</v>
      </c>
      <c r="B118" s="121" t="s">
        <v>1002</v>
      </c>
      <c r="C118" s="251" t="s">
        <v>1038</v>
      </c>
      <c r="D118" s="256" t="s">
        <v>1009</v>
      </c>
      <c r="E118" s="258" t="s">
        <v>1038</v>
      </c>
      <c r="F118" s="258" t="s">
        <v>1178</v>
      </c>
      <c r="G118" s="258" t="s">
        <v>1177</v>
      </c>
      <c r="H118" s="194" t="s">
        <v>1116</v>
      </c>
      <c r="I118" s="240" t="s">
        <v>1117</v>
      </c>
      <c r="J118" s="197" t="s">
        <v>1118</v>
      </c>
      <c r="K118" s="285">
        <v>698000</v>
      </c>
      <c r="L118" s="194" t="s">
        <v>1252</v>
      </c>
      <c r="M118" s="106" t="s">
        <v>379</v>
      </c>
      <c r="N118" s="198"/>
      <c r="O118" s="198"/>
      <c r="P118" s="198"/>
      <c r="Q118" s="198"/>
      <c r="R118" s="198"/>
      <c r="S118" s="198"/>
      <c r="T118" s="198"/>
      <c r="U118" s="198"/>
      <c r="V118" s="198"/>
    </row>
    <row r="119" spans="1:22" s="185" customFormat="1" x14ac:dyDescent="0.3">
      <c r="B119" s="186" t="s">
        <v>310</v>
      </c>
      <c r="C119" s="248"/>
      <c r="D119" s="248"/>
      <c r="E119" s="248"/>
      <c r="F119" s="248"/>
      <c r="G119" s="248"/>
      <c r="I119" s="188"/>
      <c r="J119" s="188"/>
      <c r="K119" s="283"/>
      <c r="M119" s="189"/>
      <c r="N119" s="189"/>
      <c r="O119" s="189"/>
      <c r="P119" s="189"/>
      <c r="Q119" s="189"/>
      <c r="R119" s="189"/>
      <c r="S119" s="189"/>
      <c r="T119" s="189"/>
      <c r="U119" s="189"/>
      <c r="V119" s="189"/>
    </row>
    <row r="120" spans="1:22" s="190" customFormat="1" x14ac:dyDescent="0.3">
      <c r="A120" s="190">
        <v>1</v>
      </c>
      <c r="B120" s="191"/>
      <c r="C120" s="249"/>
      <c r="D120" s="249"/>
      <c r="E120" s="249"/>
      <c r="F120" s="249"/>
      <c r="G120" s="249"/>
      <c r="I120" s="193"/>
      <c r="J120" s="193"/>
      <c r="K120" s="284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</row>
    <row r="121" spans="1:22" s="190" customFormat="1" x14ac:dyDescent="0.3">
      <c r="A121" s="190">
        <v>2</v>
      </c>
      <c r="B121" s="191"/>
      <c r="C121" s="249"/>
      <c r="D121" s="249"/>
      <c r="E121" s="249"/>
      <c r="F121" s="249"/>
      <c r="G121" s="249"/>
      <c r="I121" s="193"/>
      <c r="J121" s="193"/>
      <c r="K121" s="284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</row>
    <row r="122" spans="1:22" s="190" customFormat="1" x14ac:dyDescent="0.3">
      <c r="A122" s="190">
        <v>3</v>
      </c>
      <c r="B122" s="191"/>
      <c r="C122" s="249"/>
      <c r="D122" s="249"/>
      <c r="E122" s="249"/>
      <c r="F122" s="249"/>
      <c r="G122" s="249"/>
      <c r="I122" s="193"/>
      <c r="J122" s="193"/>
      <c r="K122" s="284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</row>
    <row r="123" spans="1:22" s="190" customFormat="1" x14ac:dyDescent="0.3">
      <c r="A123" s="190">
        <v>4</v>
      </c>
      <c r="B123" s="191"/>
      <c r="C123" s="249"/>
      <c r="D123" s="249"/>
      <c r="E123" s="249"/>
      <c r="F123" s="249"/>
      <c r="G123" s="249"/>
      <c r="I123" s="193"/>
      <c r="J123" s="193"/>
      <c r="K123" s="284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</row>
    <row r="124" spans="1:22" s="194" customFormat="1" x14ac:dyDescent="0.3">
      <c r="A124" s="194">
        <v>5</v>
      </c>
      <c r="B124" s="195"/>
      <c r="C124" s="250"/>
      <c r="D124" s="250"/>
      <c r="E124" s="250"/>
      <c r="F124" s="250"/>
      <c r="G124" s="250"/>
      <c r="I124" s="197"/>
      <c r="J124" s="197"/>
      <c r="K124" s="285"/>
      <c r="M124" s="198"/>
      <c r="N124" s="198"/>
      <c r="O124" s="198"/>
      <c r="P124" s="198"/>
      <c r="Q124" s="198"/>
      <c r="R124" s="198"/>
      <c r="S124" s="198"/>
      <c r="T124" s="198"/>
      <c r="U124" s="198"/>
      <c r="V124" s="198"/>
    </row>
    <row r="125" spans="1:22" s="185" customFormat="1" x14ac:dyDescent="0.3">
      <c r="B125" s="186" t="s">
        <v>314</v>
      </c>
      <c r="C125" s="248"/>
      <c r="D125" s="248"/>
      <c r="E125" s="248"/>
      <c r="F125" s="248"/>
      <c r="G125" s="248"/>
      <c r="I125" s="188"/>
      <c r="J125" s="188"/>
      <c r="K125" s="283"/>
      <c r="M125" s="189"/>
      <c r="N125" s="189"/>
      <c r="O125" s="189"/>
      <c r="P125" s="189"/>
      <c r="Q125" s="189"/>
      <c r="R125" s="189"/>
      <c r="S125" s="189"/>
      <c r="T125" s="189"/>
      <c r="U125" s="189"/>
      <c r="V125" s="189"/>
    </row>
    <row r="126" spans="1:22" s="190" customFormat="1" x14ac:dyDescent="0.3">
      <c r="A126" s="190">
        <v>1</v>
      </c>
      <c r="B126" s="191"/>
      <c r="C126" s="249"/>
      <c r="D126" s="249"/>
      <c r="E126" s="249"/>
      <c r="F126" s="249"/>
      <c r="G126" s="249"/>
      <c r="I126" s="193"/>
      <c r="J126" s="193"/>
      <c r="K126" s="284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</row>
    <row r="127" spans="1:22" s="190" customFormat="1" x14ac:dyDescent="0.3">
      <c r="A127" s="190">
        <v>2</v>
      </c>
      <c r="B127" s="191"/>
      <c r="C127" s="249"/>
      <c r="D127" s="249"/>
      <c r="E127" s="249"/>
      <c r="F127" s="249"/>
      <c r="G127" s="249"/>
      <c r="I127" s="193"/>
      <c r="J127" s="193"/>
      <c r="K127" s="284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</row>
    <row r="128" spans="1:22" s="190" customFormat="1" x14ac:dyDescent="0.3">
      <c r="A128" s="190">
        <v>3</v>
      </c>
      <c r="B128" s="191"/>
      <c r="C128" s="249"/>
      <c r="D128" s="249"/>
      <c r="E128" s="249"/>
      <c r="F128" s="249"/>
      <c r="G128" s="249"/>
      <c r="I128" s="193"/>
      <c r="J128" s="193"/>
      <c r="K128" s="284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</row>
    <row r="129" spans="1:22" s="190" customFormat="1" x14ac:dyDescent="0.3">
      <c r="A129" s="190">
        <v>4</v>
      </c>
      <c r="B129" s="191"/>
      <c r="C129" s="249"/>
      <c r="D129" s="249"/>
      <c r="E129" s="249"/>
      <c r="F129" s="249"/>
      <c r="G129" s="249"/>
      <c r="I129" s="193"/>
      <c r="J129" s="193"/>
      <c r="K129" s="284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</row>
    <row r="130" spans="1:22" s="194" customFormat="1" x14ac:dyDescent="0.3">
      <c r="A130" s="194">
        <v>5</v>
      </c>
      <c r="B130" s="195"/>
      <c r="C130" s="250"/>
      <c r="D130" s="250"/>
      <c r="E130" s="250"/>
      <c r="F130" s="250"/>
      <c r="G130" s="250"/>
      <c r="I130" s="197"/>
      <c r="J130" s="197"/>
      <c r="K130" s="285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</row>
    <row r="131" spans="1:22" s="185" customFormat="1" x14ac:dyDescent="0.3">
      <c r="B131" s="186" t="s">
        <v>315</v>
      </c>
      <c r="C131" s="248"/>
      <c r="D131" s="248"/>
      <c r="E131" s="248"/>
      <c r="F131" s="248"/>
      <c r="G131" s="248"/>
      <c r="I131" s="188"/>
      <c r="J131" s="188"/>
      <c r="K131" s="283"/>
      <c r="M131" s="189"/>
      <c r="N131" s="189"/>
      <c r="O131" s="189"/>
      <c r="P131" s="189"/>
      <c r="Q131" s="189"/>
      <c r="R131" s="189"/>
      <c r="S131" s="189"/>
      <c r="T131" s="189"/>
      <c r="U131" s="189"/>
      <c r="V131" s="189"/>
    </row>
    <row r="132" spans="1:22" s="190" customFormat="1" x14ac:dyDescent="0.3">
      <c r="A132" s="190">
        <v>1</v>
      </c>
      <c r="B132" s="191"/>
      <c r="C132" s="249"/>
      <c r="D132" s="249"/>
      <c r="E132" s="249"/>
      <c r="F132" s="249"/>
      <c r="G132" s="249"/>
      <c r="I132" s="193"/>
      <c r="J132" s="193"/>
      <c r="K132" s="284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</row>
    <row r="133" spans="1:22" s="190" customFormat="1" x14ac:dyDescent="0.3">
      <c r="A133" s="190">
        <v>2</v>
      </c>
      <c r="B133" s="191"/>
      <c r="C133" s="249"/>
      <c r="D133" s="249"/>
      <c r="E133" s="249"/>
      <c r="F133" s="249"/>
      <c r="G133" s="249"/>
      <c r="I133" s="193"/>
      <c r="J133" s="193"/>
      <c r="K133" s="284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</row>
    <row r="134" spans="1:22" s="190" customFormat="1" x14ac:dyDescent="0.3">
      <c r="A134" s="190">
        <v>3</v>
      </c>
      <c r="B134" s="191"/>
      <c r="C134" s="249"/>
      <c r="D134" s="249"/>
      <c r="E134" s="249"/>
      <c r="F134" s="249"/>
      <c r="G134" s="249"/>
      <c r="I134" s="193"/>
      <c r="J134" s="193"/>
      <c r="K134" s="284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</row>
    <row r="135" spans="1:22" s="190" customFormat="1" x14ac:dyDescent="0.3">
      <c r="A135" s="190">
        <v>4</v>
      </c>
      <c r="B135" s="191"/>
      <c r="C135" s="249"/>
      <c r="D135" s="249"/>
      <c r="E135" s="249"/>
      <c r="F135" s="249"/>
      <c r="G135" s="249"/>
      <c r="I135" s="193"/>
      <c r="J135" s="193"/>
      <c r="K135" s="284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</row>
    <row r="136" spans="1:22" s="194" customFormat="1" ht="15" thickBot="1" x14ac:dyDescent="0.35">
      <c r="A136" s="194">
        <v>5</v>
      </c>
      <c r="B136" s="195"/>
      <c r="C136" s="250"/>
      <c r="D136" s="250"/>
      <c r="E136" s="250"/>
      <c r="F136" s="250"/>
      <c r="G136" s="250"/>
      <c r="I136" s="197"/>
      <c r="J136" s="197"/>
      <c r="K136" s="285"/>
      <c r="M136" s="198"/>
      <c r="N136" s="198"/>
      <c r="O136" s="198"/>
      <c r="P136" s="198"/>
      <c r="Q136" s="198"/>
      <c r="R136" s="198"/>
      <c r="S136" s="198"/>
      <c r="T136" s="198"/>
      <c r="U136" s="198"/>
      <c r="V136" s="198"/>
    </row>
    <row r="137" spans="1:22" s="185" customFormat="1" ht="15" thickBot="1" x14ac:dyDescent="0.35">
      <c r="B137" s="186" t="s">
        <v>316</v>
      </c>
      <c r="C137" s="248"/>
      <c r="D137" s="248"/>
      <c r="E137" s="248"/>
      <c r="F137" s="274" t="s">
        <v>1246</v>
      </c>
      <c r="G137" s="275">
        <f>COUNTIF(G138:G148, "yes")</f>
        <v>6</v>
      </c>
      <c r="I137" s="188"/>
      <c r="J137" s="188"/>
      <c r="K137" s="283"/>
      <c r="M137" s="189"/>
      <c r="N137" s="189"/>
      <c r="O137" s="189"/>
      <c r="P137" s="189"/>
      <c r="Q137" s="189"/>
      <c r="R137" s="189"/>
      <c r="S137" s="189"/>
      <c r="T137" s="189"/>
      <c r="U137" s="189"/>
      <c r="V137" s="189"/>
    </row>
    <row r="138" spans="1:22" s="190" customFormat="1" x14ac:dyDescent="0.3">
      <c r="A138" s="241">
        <v>1</v>
      </c>
      <c r="B138" s="190" t="s">
        <v>962</v>
      </c>
      <c r="C138" s="251" t="s">
        <v>1177</v>
      </c>
      <c r="D138" s="256" t="s">
        <v>1009</v>
      </c>
      <c r="E138" s="258" t="s">
        <v>1177</v>
      </c>
      <c r="F138" s="273" t="s">
        <v>1178</v>
      </c>
      <c r="G138" s="273" t="s">
        <v>1177</v>
      </c>
      <c r="H138" s="190" t="s">
        <v>1039</v>
      </c>
      <c r="I138" s="239" t="s">
        <v>1040</v>
      </c>
      <c r="J138" s="193" t="s">
        <v>1041</v>
      </c>
      <c r="K138" s="284">
        <v>773562</v>
      </c>
      <c r="L138" s="190" t="s">
        <v>1241</v>
      </c>
      <c r="M138" s="106" t="s">
        <v>1005</v>
      </c>
      <c r="N138" s="106"/>
      <c r="O138" s="106"/>
      <c r="P138" s="106"/>
      <c r="Q138" s="106"/>
      <c r="R138" s="106"/>
      <c r="S138" s="106"/>
      <c r="T138" s="106"/>
      <c r="U138" s="106"/>
      <c r="V138" s="106"/>
    </row>
    <row r="139" spans="1:22" s="190" customFormat="1" x14ac:dyDescent="0.3">
      <c r="A139" s="241">
        <v>2</v>
      </c>
      <c r="B139" s="190" t="s">
        <v>963</v>
      </c>
      <c r="C139" s="251" t="s">
        <v>1038</v>
      </c>
      <c r="D139" s="256" t="s">
        <v>1009</v>
      </c>
      <c r="E139" s="258" t="s">
        <v>1038</v>
      </c>
      <c r="F139" s="258" t="s">
        <v>1178</v>
      </c>
      <c r="G139" s="258" t="s">
        <v>1177</v>
      </c>
      <c r="H139" s="190" t="s">
        <v>1043</v>
      </c>
      <c r="I139" s="239" t="s">
        <v>1045</v>
      </c>
      <c r="J139" s="193" t="s">
        <v>1044</v>
      </c>
      <c r="K139" s="284">
        <v>575966.1</v>
      </c>
      <c r="L139" s="190" t="s">
        <v>1274</v>
      </c>
      <c r="M139" s="106" t="s">
        <v>1005</v>
      </c>
      <c r="N139" s="106"/>
      <c r="O139" s="106"/>
      <c r="P139" s="106"/>
      <c r="Q139" s="106"/>
      <c r="R139" s="106"/>
      <c r="S139" s="106"/>
      <c r="T139" s="106"/>
      <c r="U139" s="106"/>
      <c r="V139" s="106"/>
    </row>
    <row r="140" spans="1:22" s="190" customFormat="1" x14ac:dyDescent="0.3">
      <c r="A140" s="241">
        <v>3</v>
      </c>
      <c r="B140" s="190" t="s">
        <v>961</v>
      </c>
      <c r="C140" s="251" t="s">
        <v>1038</v>
      </c>
      <c r="D140" s="256" t="s">
        <v>1009</v>
      </c>
      <c r="E140" s="258" t="s">
        <v>1177</v>
      </c>
      <c r="F140" s="258" t="s">
        <v>1178</v>
      </c>
      <c r="G140" s="258" t="s">
        <v>1177</v>
      </c>
      <c r="H140" s="190" t="s">
        <v>1172</v>
      </c>
      <c r="I140" s="239" t="s">
        <v>1175</v>
      </c>
      <c r="J140" s="193" t="s">
        <v>1174</v>
      </c>
      <c r="K140" s="284">
        <v>574658</v>
      </c>
      <c r="L140" s="194" t="s">
        <v>1254</v>
      </c>
      <c r="M140" s="106" t="s">
        <v>1005</v>
      </c>
      <c r="N140" s="106"/>
      <c r="O140" s="106"/>
      <c r="P140" s="106"/>
      <c r="Q140" s="106"/>
      <c r="R140" s="106"/>
      <c r="S140" s="106"/>
      <c r="T140" s="106"/>
      <c r="U140" s="106"/>
      <c r="V140" s="106"/>
    </row>
    <row r="141" spans="1:22" s="190" customFormat="1" x14ac:dyDescent="0.3">
      <c r="A141" s="241">
        <v>4</v>
      </c>
      <c r="B141" s="190" t="s">
        <v>964</v>
      </c>
      <c r="C141" s="251" t="s">
        <v>1038</v>
      </c>
      <c r="D141" s="256" t="s">
        <v>1009</v>
      </c>
      <c r="E141" s="258" t="s">
        <v>1038</v>
      </c>
      <c r="F141" s="258" t="s">
        <v>1178</v>
      </c>
      <c r="G141" s="258" t="s">
        <v>1177</v>
      </c>
      <c r="H141" s="190" t="s">
        <v>1046</v>
      </c>
      <c r="I141" s="239" t="s">
        <v>1047</v>
      </c>
      <c r="J141" s="193" t="s">
        <v>1048</v>
      </c>
      <c r="K141" s="284">
        <v>729034</v>
      </c>
      <c r="L141" s="190" t="s">
        <v>1243</v>
      </c>
      <c r="M141" s="106" t="s">
        <v>1005</v>
      </c>
      <c r="N141" s="106"/>
      <c r="O141" s="106"/>
      <c r="P141" s="106"/>
      <c r="Q141" s="106"/>
      <c r="R141" s="106"/>
      <c r="S141" s="106"/>
      <c r="T141" s="106"/>
      <c r="U141" s="106"/>
      <c r="V141" s="106"/>
    </row>
    <row r="142" spans="1:22" s="194" customFormat="1" x14ac:dyDescent="0.3">
      <c r="A142" s="242">
        <v>5</v>
      </c>
      <c r="B142" s="194" t="s">
        <v>965</v>
      </c>
      <c r="C142" s="252" t="s">
        <v>1038</v>
      </c>
      <c r="D142" s="257" t="s">
        <v>1011</v>
      </c>
      <c r="E142" s="258" t="s">
        <v>1038</v>
      </c>
      <c r="F142" s="258" t="s">
        <v>1179</v>
      </c>
      <c r="G142" s="258" t="s">
        <v>1038</v>
      </c>
      <c r="H142" s="194" t="s">
        <v>1049</v>
      </c>
      <c r="I142" s="240" t="s">
        <v>1050</v>
      </c>
      <c r="J142" s="197" t="s">
        <v>1051</v>
      </c>
      <c r="K142" s="285"/>
      <c r="M142" s="106" t="s">
        <v>1005</v>
      </c>
      <c r="N142" s="198"/>
      <c r="O142" s="198"/>
      <c r="P142" s="198"/>
      <c r="Q142" s="198"/>
      <c r="R142" s="198"/>
      <c r="S142" s="198"/>
      <c r="T142" s="198"/>
      <c r="U142" s="198"/>
      <c r="V142" s="198"/>
    </row>
    <row r="143" spans="1:22" s="194" customFormat="1" x14ac:dyDescent="0.3">
      <c r="A143" s="242">
        <v>6</v>
      </c>
      <c r="B143" s="194" t="s">
        <v>966</v>
      </c>
      <c r="C143" s="252" t="s">
        <v>1038</v>
      </c>
      <c r="D143" s="257" t="s">
        <v>1008</v>
      </c>
      <c r="E143" s="258" t="s">
        <v>1038</v>
      </c>
      <c r="F143" s="258" t="s">
        <v>1179</v>
      </c>
      <c r="G143" s="258" t="s">
        <v>1038</v>
      </c>
      <c r="H143" s="194" t="s">
        <v>1052</v>
      </c>
      <c r="I143" s="240" t="s">
        <v>1053</v>
      </c>
      <c r="J143" s="197" t="s">
        <v>1054</v>
      </c>
      <c r="K143" s="285"/>
      <c r="M143" s="106" t="s">
        <v>1005</v>
      </c>
      <c r="N143" s="198"/>
      <c r="O143" s="198"/>
      <c r="P143" s="198"/>
      <c r="Q143" s="198"/>
      <c r="R143" s="198"/>
      <c r="S143" s="198"/>
      <c r="T143" s="198"/>
      <c r="U143" s="198"/>
      <c r="V143" s="198"/>
    </row>
    <row r="144" spans="1:22" s="194" customFormat="1" x14ac:dyDescent="0.3">
      <c r="A144" s="242">
        <v>7</v>
      </c>
      <c r="B144" s="194" t="s">
        <v>967</v>
      </c>
      <c r="C144" s="252" t="s">
        <v>1038</v>
      </c>
      <c r="D144" s="257" t="s">
        <v>1011</v>
      </c>
      <c r="E144" s="258" t="s">
        <v>1038</v>
      </c>
      <c r="F144" s="258" t="s">
        <v>1038</v>
      </c>
      <c r="G144" s="258" t="s">
        <v>1038</v>
      </c>
      <c r="H144" s="194" t="s">
        <v>1055</v>
      </c>
      <c r="I144" s="240" t="s">
        <v>1056</v>
      </c>
      <c r="J144" s="197" t="s">
        <v>1057</v>
      </c>
      <c r="K144" s="285"/>
      <c r="L144" s="194" t="s">
        <v>1201</v>
      </c>
      <c r="M144" s="106" t="s">
        <v>1005</v>
      </c>
      <c r="N144" s="198"/>
      <c r="O144" s="198"/>
      <c r="P144" s="198"/>
      <c r="Q144" s="198"/>
      <c r="R144" s="198"/>
      <c r="S144" s="198"/>
      <c r="T144" s="198"/>
      <c r="U144" s="198"/>
      <c r="V144" s="198"/>
    </row>
    <row r="145" spans="1:22" s="194" customFormat="1" x14ac:dyDescent="0.3">
      <c r="A145" s="242">
        <v>8</v>
      </c>
      <c r="B145" s="194" t="s">
        <v>968</v>
      </c>
      <c r="C145" s="252" t="s">
        <v>1038</v>
      </c>
      <c r="D145" s="257" t="s">
        <v>1009</v>
      </c>
      <c r="E145" s="258" t="s">
        <v>1038</v>
      </c>
      <c r="F145" s="258" t="s">
        <v>1178</v>
      </c>
      <c r="G145" s="258" t="s">
        <v>1177</v>
      </c>
      <c r="H145" s="194" t="s">
        <v>1058</v>
      </c>
      <c r="I145" s="240" t="s">
        <v>1059</v>
      </c>
      <c r="J145" s="197" t="s">
        <v>1060</v>
      </c>
      <c r="K145" s="285">
        <v>625100</v>
      </c>
      <c r="L145" s="194" t="s">
        <v>1254</v>
      </c>
      <c r="M145" s="106" t="s">
        <v>1005</v>
      </c>
      <c r="N145" s="198"/>
      <c r="O145" s="198"/>
      <c r="P145" s="198"/>
      <c r="Q145" s="198"/>
      <c r="R145" s="198"/>
      <c r="S145" s="198"/>
      <c r="T145" s="198"/>
      <c r="U145" s="198"/>
      <c r="V145" s="198"/>
    </row>
    <row r="146" spans="1:22" s="194" customFormat="1" x14ac:dyDescent="0.3">
      <c r="A146" s="242">
        <v>9</v>
      </c>
      <c r="B146" s="194" t="s">
        <v>1003</v>
      </c>
      <c r="C146" s="252" t="s">
        <v>1189</v>
      </c>
      <c r="D146" s="257" t="s">
        <v>1009</v>
      </c>
      <c r="E146" s="258" t="s">
        <v>1038</v>
      </c>
      <c r="F146" s="258" t="s">
        <v>1178</v>
      </c>
      <c r="G146" s="258" t="s">
        <v>1038</v>
      </c>
      <c r="H146" s="194" t="s">
        <v>1202</v>
      </c>
      <c r="I146" s="240" t="s">
        <v>1203</v>
      </c>
      <c r="J146" s="197" t="s">
        <v>1042</v>
      </c>
      <c r="K146" s="285"/>
      <c r="L146" s="194" t="s">
        <v>1183</v>
      </c>
      <c r="M146" s="106" t="s">
        <v>1005</v>
      </c>
      <c r="N146" s="198"/>
      <c r="O146" s="198"/>
      <c r="P146" s="198"/>
      <c r="Q146" s="198"/>
      <c r="R146" s="198"/>
      <c r="S146" s="198"/>
      <c r="T146" s="198"/>
      <c r="U146" s="198"/>
      <c r="V146" s="198"/>
    </row>
    <row r="147" spans="1:22" s="194" customFormat="1" x14ac:dyDescent="0.3">
      <c r="A147" s="242">
        <v>10</v>
      </c>
      <c r="B147" s="194" t="s">
        <v>969</v>
      </c>
      <c r="C147" s="251" t="s">
        <v>1038</v>
      </c>
      <c r="D147" s="256" t="s">
        <v>1009</v>
      </c>
      <c r="E147" s="258" t="s">
        <v>1038</v>
      </c>
      <c r="F147" s="258" t="s">
        <v>1178</v>
      </c>
      <c r="G147" s="258" t="s">
        <v>1177</v>
      </c>
      <c r="H147" s="194" t="s">
        <v>1061</v>
      </c>
      <c r="I147" s="240" t="s">
        <v>1062</v>
      </c>
      <c r="J147" s="197" t="s">
        <v>1063</v>
      </c>
      <c r="K147" s="285">
        <v>799360</v>
      </c>
      <c r="L147" s="194" t="s">
        <v>1241</v>
      </c>
      <c r="M147" s="106" t="s">
        <v>1005</v>
      </c>
      <c r="N147" s="198"/>
      <c r="O147" s="198"/>
      <c r="P147" s="198"/>
      <c r="Q147" s="198"/>
      <c r="R147" s="198"/>
      <c r="S147" s="198"/>
      <c r="T147" s="198"/>
      <c r="U147" s="198"/>
      <c r="V147" s="198"/>
    </row>
    <row r="148" spans="1:22" s="245" customFormat="1" ht="15" thickBot="1" x14ac:dyDescent="0.35">
      <c r="A148" s="245">
        <v>11</v>
      </c>
      <c r="B148" s="245" t="s">
        <v>1233</v>
      </c>
      <c r="C148" s="268" t="s">
        <v>1038</v>
      </c>
      <c r="D148" s="276" t="s">
        <v>1009</v>
      </c>
      <c r="E148" s="277" t="s">
        <v>1177</v>
      </c>
      <c r="F148" s="277" t="s">
        <v>1178</v>
      </c>
      <c r="G148" s="277" t="s">
        <v>1038</v>
      </c>
      <c r="H148" s="245" t="s">
        <v>1234</v>
      </c>
      <c r="I148" s="264" t="s">
        <v>1235</v>
      </c>
      <c r="J148" s="265" t="s">
        <v>1236</v>
      </c>
      <c r="K148" s="287"/>
      <c r="M148" s="266"/>
      <c r="N148" s="267"/>
      <c r="O148" s="267"/>
      <c r="P148" s="267"/>
      <c r="Q148" s="267"/>
      <c r="R148" s="267"/>
      <c r="S148" s="267"/>
      <c r="T148" s="267"/>
      <c r="U148" s="267"/>
      <c r="V148" s="267"/>
    </row>
    <row r="149" spans="1:22" s="223" customFormat="1" ht="15" thickBot="1" x14ac:dyDescent="0.35">
      <c r="A149" s="185"/>
      <c r="B149" s="222" t="s">
        <v>317</v>
      </c>
      <c r="C149" s="253"/>
      <c r="D149" s="271" t="s">
        <v>1250</v>
      </c>
      <c r="E149" s="272">
        <f>COUNTIF(G150:G161,"YES")</f>
        <v>8</v>
      </c>
      <c r="F149" s="271" t="s">
        <v>1251</v>
      </c>
      <c r="G149" s="272">
        <f>COUNTIF(G162:G171,"YES")</f>
        <v>7</v>
      </c>
      <c r="H149" s="185"/>
      <c r="I149" s="188"/>
      <c r="J149" s="188"/>
      <c r="K149" s="288"/>
      <c r="M149" s="224"/>
      <c r="N149" s="224"/>
      <c r="O149" s="224"/>
      <c r="P149" s="224"/>
      <c r="Q149" s="224"/>
      <c r="R149" s="224"/>
      <c r="S149" s="224"/>
      <c r="T149" s="224"/>
      <c r="U149" s="224"/>
      <c r="V149" s="224"/>
    </row>
    <row r="150" spans="1:22" s="225" customFormat="1" x14ac:dyDescent="0.3">
      <c r="A150" s="190">
        <v>1</v>
      </c>
      <c r="B150" s="213" t="s">
        <v>970</v>
      </c>
      <c r="C150" s="254" t="s">
        <v>1038</v>
      </c>
      <c r="D150" s="278" t="s">
        <v>1009</v>
      </c>
      <c r="E150" s="279" t="s">
        <v>1038</v>
      </c>
      <c r="F150" s="279" t="s">
        <v>1178</v>
      </c>
      <c r="G150" s="279" t="s">
        <v>1177</v>
      </c>
      <c r="H150" s="190" t="s">
        <v>1119</v>
      </c>
      <c r="I150" s="239" t="s">
        <v>1120</v>
      </c>
      <c r="J150" s="193" t="s">
        <v>1121</v>
      </c>
      <c r="K150" s="289">
        <v>322372</v>
      </c>
      <c r="L150" s="225" t="s">
        <v>1245</v>
      </c>
      <c r="M150" s="235" t="s">
        <v>979</v>
      </c>
      <c r="N150" s="226"/>
      <c r="O150" s="226"/>
      <c r="P150" s="226"/>
      <c r="Q150" s="226"/>
      <c r="R150" s="226"/>
      <c r="S150" s="226"/>
      <c r="T150" s="226"/>
      <c r="U150" s="226"/>
      <c r="V150" s="226"/>
    </row>
    <row r="151" spans="1:22" s="225" customFormat="1" x14ac:dyDescent="0.3">
      <c r="A151" s="246">
        <v>2</v>
      </c>
      <c r="B151" s="213" t="s">
        <v>1184</v>
      </c>
      <c r="C151" s="254" t="s">
        <v>1177</v>
      </c>
      <c r="D151" s="260" t="s">
        <v>1009</v>
      </c>
      <c r="E151" s="262" t="s">
        <v>1177</v>
      </c>
      <c r="F151" s="262" t="s">
        <v>1179</v>
      </c>
      <c r="G151" s="262" t="s">
        <v>1038</v>
      </c>
      <c r="H151" s="190" t="s">
        <v>1185</v>
      </c>
      <c r="I151" s="239" t="s">
        <v>1186</v>
      </c>
      <c r="J151" s="193" t="s">
        <v>1187</v>
      </c>
      <c r="K151" s="289"/>
      <c r="M151" s="235" t="s">
        <v>979</v>
      </c>
      <c r="N151" s="226"/>
      <c r="O151" s="226"/>
      <c r="P151" s="226"/>
      <c r="Q151" s="226"/>
      <c r="R151" s="226"/>
      <c r="S151" s="226"/>
      <c r="T151" s="226"/>
      <c r="U151" s="226"/>
      <c r="V151" s="226"/>
    </row>
    <row r="152" spans="1:22" s="225" customFormat="1" x14ac:dyDescent="0.3">
      <c r="A152" s="190">
        <v>3</v>
      </c>
      <c r="B152" s="213" t="s">
        <v>971</v>
      </c>
      <c r="C152" s="254" t="s">
        <v>1038</v>
      </c>
      <c r="D152" s="260" t="s">
        <v>1009</v>
      </c>
      <c r="E152" s="262" t="s">
        <v>1038</v>
      </c>
      <c r="F152" s="262" t="s">
        <v>1178</v>
      </c>
      <c r="G152" s="262" t="s">
        <v>1177</v>
      </c>
      <c r="H152" s="190" t="s">
        <v>1122</v>
      </c>
      <c r="I152" s="239" t="s">
        <v>1123</v>
      </c>
      <c r="J152" s="193" t="s">
        <v>1124</v>
      </c>
      <c r="K152" s="289">
        <v>357600</v>
      </c>
      <c r="M152" s="235" t="s">
        <v>979</v>
      </c>
      <c r="N152" s="226"/>
      <c r="O152" s="226"/>
      <c r="P152" s="226"/>
      <c r="Q152" s="226"/>
      <c r="R152" s="226"/>
      <c r="S152" s="226"/>
      <c r="T152" s="226"/>
      <c r="U152" s="226"/>
      <c r="V152" s="226"/>
    </row>
    <row r="153" spans="1:22" s="225" customFormat="1" x14ac:dyDescent="0.3">
      <c r="A153" s="246">
        <v>4</v>
      </c>
      <c r="B153" s="213" t="s">
        <v>972</v>
      </c>
      <c r="C153" s="254" t="s">
        <v>1177</v>
      </c>
      <c r="D153" s="260" t="s">
        <v>1009</v>
      </c>
      <c r="E153" s="262" t="s">
        <v>1177</v>
      </c>
      <c r="F153" s="262" t="s">
        <v>1038</v>
      </c>
      <c r="G153" s="262" t="s">
        <v>1177</v>
      </c>
      <c r="H153" s="190" t="s">
        <v>1275</v>
      </c>
      <c r="I153" s="239" t="s">
        <v>1276</v>
      </c>
      <c r="J153" s="193" t="s">
        <v>1277</v>
      </c>
      <c r="K153" s="289">
        <v>311538</v>
      </c>
      <c r="M153" s="235" t="s">
        <v>979</v>
      </c>
      <c r="N153" s="226"/>
      <c r="O153" s="226"/>
      <c r="P153" s="226"/>
      <c r="Q153" s="226"/>
      <c r="R153" s="226"/>
      <c r="S153" s="226"/>
      <c r="T153" s="226"/>
      <c r="U153" s="226"/>
      <c r="V153" s="226"/>
    </row>
    <row r="154" spans="1:22" s="225" customFormat="1" x14ac:dyDescent="0.3">
      <c r="A154" s="190">
        <v>5</v>
      </c>
      <c r="B154" s="213" t="s">
        <v>973</v>
      </c>
      <c r="C154" s="254" t="s">
        <v>1038</v>
      </c>
      <c r="D154" s="260" t="s">
        <v>1008</v>
      </c>
      <c r="E154" s="262" t="s">
        <v>1038</v>
      </c>
      <c r="F154" s="262" t="s">
        <v>1179</v>
      </c>
      <c r="G154" s="262" t="s">
        <v>1038</v>
      </c>
      <c r="H154" s="190" t="s">
        <v>1125</v>
      </c>
      <c r="I154" s="239" t="s">
        <v>1126</v>
      </c>
      <c r="J154" s="193" t="s">
        <v>1127</v>
      </c>
      <c r="K154" s="289"/>
      <c r="L154" s="225" t="s">
        <v>1199</v>
      </c>
      <c r="M154" s="235" t="s">
        <v>979</v>
      </c>
      <c r="N154" s="226"/>
      <c r="O154" s="226"/>
      <c r="P154" s="226"/>
      <c r="Q154" s="226"/>
      <c r="R154" s="226"/>
      <c r="S154" s="226"/>
      <c r="T154" s="226"/>
      <c r="U154" s="226"/>
      <c r="V154" s="226"/>
    </row>
    <row r="155" spans="1:22" s="227" customFormat="1" x14ac:dyDescent="0.3">
      <c r="A155" s="190">
        <v>6</v>
      </c>
      <c r="B155" s="221" t="s">
        <v>974</v>
      </c>
      <c r="C155" s="255" t="s">
        <v>1038</v>
      </c>
      <c r="D155" s="261" t="s">
        <v>1011</v>
      </c>
      <c r="E155" s="262" t="s">
        <v>1038</v>
      </c>
      <c r="F155" s="262" t="s">
        <v>1178</v>
      </c>
      <c r="G155" s="262" t="s">
        <v>1038</v>
      </c>
      <c r="H155" s="194" t="s">
        <v>1128</v>
      </c>
      <c r="I155" s="240" t="s">
        <v>1129</v>
      </c>
      <c r="J155" s="197" t="s">
        <v>1130</v>
      </c>
      <c r="K155" s="290"/>
      <c r="M155" s="235" t="s">
        <v>979</v>
      </c>
      <c r="N155" s="228"/>
      <c r="O155" s="228"/>
      <c r="P155" s="228"/>
      <c r="Q155" s="228"/>
      <c r="R155" s="228"/>
      <c r="S155" s="228"/>
      <c r="T155" s="228"/>
      <c r="U155" s="228"/>
      <c r="V155" s="228"/>
    </row>
    <row r="156" spans="1:22" s="227" customFormat="1" x14ac:dyDescent="0.3">
      <c r="A156" s="246">
        <v>7</v>
      </c>
      <c r="B156" s="221" t="s">
        <v>975</v>
      </c>
      <c r="C156" s="255" t="s">
        <v>1038</v>
      </c>
      <c r="D156" s="261" t="s">
        <v>1009</v>
      </c>
      <c r="E156" s="262" t="s">
        <v>1038</v>
      </c>
      <c r="F156" s="262" t="s">
        <v>1179</v>
      </c>
      <c r="G156" s="262" t="s">
        <v>1177</v>
      </c>
      <c r="H156" s="194" t="s">
        <v>1131</v>
      </c>
      <c r="I156" s="240" t="s">
        <v>1132</v>
      </c>
      <c r="J156" s="197" t="s">
        <v>1133</v>
      </c>
      <c r="K156" s="290">
        <v>322750</v>
      </c>
      <c r="M156" s="235" t="s">
        <v>979</v>
      </c>
      <c r="N156" s="228"/>
      <c r="O156" s="228"/>
      <c r="P156" s="228"/>
      <c r="Q156" s="228"/>
      <c r="R156" s="228"/>
      <c r="S156" s="228"/>
      <c r="T156" s="228"/>
      <c r="U156" s="228"/>
      <c r="V156" s="228"/>
    </row>
    <row r="157" spans="1:22" s="227" customFormat="1" x14ac:dyDescent="0.3">
      <c r="A157" s="190">
        <v>8</v>
      </c>
      <c r="B157" s="221" t="s">
        <v>963</v>
      </c>
      <c r="C157" s="255" t="s">
        <v>1038</v>
      </c>
      <c r="D157" s="261" t="s">
        <v>1009</v>
      </c>
      <c r="E157" s="262" t="s">
        <v>1038</v>
      </c>
      <c r="F157" s="262" t="s">
        <v>1178</v>
      </c>
      <c r="G157" s="262" t="s">
        <v>1038</v>
      </c>
      <c r="H157" s="194" t="s">
        <v>1043</v>
      </c>
      <c r="I157" s="240" t="s">
        <v>1045</v>
      </c>
      <c r="J157" s="197" t="s">
        <v>1044</v>
      </c>
      <c r="K157" s="290"/>
      <c r="L157" s="227" t="s">
        <v>1200</v>
      </c>
      <c r="M157" s="235" t="s">
        <v>979</v>
      </c>
      <c r="N157" s="228"/>
      <c r="O157" s="228"/>
      <c r="P157" s="228"/>
      <c r="Q157" s="228"/>
      <c r="R157" s="228"/>
      <c r="S157" s="228"/>
      <c r="T157" s="228"/>
      <c r="U157" s="228"/>
      <c r="V157" s="228"/>
    </row>
    <row r="158" spans="1:22" s="227" customFormat="1" x14ac:dyDescent="0.3">
      <c r="A158" s="246">
        <v>9</v>
      </c>
      <c r="B158" s="221" t="s">
        <v>976</v>
      </c>
      <c r="C158" s="255" t="s">
        <v>1038</v>
      </c>
      <c r="D158" s="261" t="s">
        <v>1009</v>
      </c>
      <c r="E158" s="262" t="s">
        <v>1038</v>
      </c>
      <c r="F158" s="262" t="s">
        <v>1178</v>
      </c>
      <c r="G158" s="262" t="s">
        <v>1177</v>
      </c>
      <c r="H158" s="194" t="s">
        <v>1134</v>
      </c>
      <c r="I158" s="240" t="s">
        <v>1135</v>
      </c>
      <c r="J158" s="197" t="s">
        <v>1136</v>
      </c>
      <c r="K158" s="290">
        <v>456801</v>
      </c>
      <c r="L158" s="227" t="s">
        <v>1278</v>
      </c>
      <c r="M158" s="235" t="s">
        <v>979</v>
      </c>
      <c r="N158" s="228"/>
      <c r="O158" s="228"/>
      <c r="P158" s="228"/>
      <c r="Q158" s="228"/>
      <c r="R158" s="228"/>
      <c r="S158" s="228"/>
      <c r="T158" s="228"/>
      <c r="U158" s="228"/>
      <c r="V158" s="228"/>
    </row>
    <row r="159" spans="1:22" s="227" customFormat="1" x14ac:dyDescent="0.3">
      <c r="A159" s="190">
        <v>10</v>
      </c>
      <c r="B159" s="221" t="s">
        <v>1003</v>
      </c>
      <c r="C159" s="255" t="s">
        <v>1189</v>
      </c>
      <c r="D159" s="261" t="s">
        <v>1009</v>
      </c>
      <c r="E159" s="262" t="s">
        <v>1177</v>
      </c>
      <c r="F159" s="262" t="s">
        <v>1178</v>
      </c>
      <c r="G159" s="262" t="s">
        <v>1177</v>
      </c>
      <c r="H159" s="194" t="s">
        <v>1202</v>
      </c>
      <c r="I159" s="240" t="s">
        <v>1203</v>
      </c>
      <c r="J159" s="197"/>
      <c r="K159" s="290">
        <v>387835</v>
      </c>
      <c r="M159" s="235" t="s">
        <v>1204</v>
      </c>
      <c r="N159" s="228"/>
      <c r="O159" s="228"/>
      <c r="P159" s="228"/>
      <c r="Q159" s="228"/>
      <c r="R159" s="228"/>
      <c r="S159" s="228"/>
      <c r="T159" s="228"/>
      <c r="U159" s="228"/>
      <c r="V159" s="228"/>
    </row>
    <row r="160" spans="1:22" s="227" customFormat="1" x14ac:dyDescent="0.3">
      <c r="A160" s="190">
        <v>11</v>
      </c>
      <c r="B160" s="221" t="s">
        <v>977</v>
      </c>
      <c r="C160" s="255" t="s">
        <v>1038</v>
      </c>
      <c r="D160" s="261" t="s">
        <v>1008</v>
      </c>
      <c r="E160" s="262" t="s">
        <v>1038</v>
      </c>
      <c r="F160" s="262" t="s">
        <v>1179</v>
      </c>
      <c r="G160" s="262" t="s">
        <v>1177</v>
      </c>
      <c r="H160" s="194" t="s">
        <v>1137</v>
      </c>
      <c r="I160" s="240" t="s">
        <v>1138</v>
      </c>
      <c r="J160" s="197" t="s">
        <v>1139</v>
      </c>
      <c r="K160" s="290">
        <v>340298.75</v>
      </c>
      <c r="L160" s="227" t="s">
        <v>1245</v>
      </c>
      <c r="M160" s="235" t="s">
        <v>979</v>
      </c>
      <c r="N160" s="228"/>
      <c r="O160" s="228"/>
      <c r="P160" s="228"/>
      <c r="Q160" s="228"/>
      <c r="R160" s="228"/>
      <c r="S160" s="228"/>
      <c r="T160" s="228"/>
      <c r="U160" s="228"/>
      <c r="V160" s="228"/>
    </row>
    <row r="161" spans="1:22" s="227" customFormat="1" x14ac:dyDescent="0.3">
      <c r="A161" s="246">
        <v>12</v>
      </c>
      <c r="B161" s="221" t="s">
        <v>978</v>
      </c>
      <c r="C161" s="255" t="s">
        <v>1038</v>
      </c>
      <c r="D161" s="261" t="s">
        <v>1009</v>
      </c>
      <c r="E161" s="262" t="s">
        <v>1038</v>
      </c>
      <c r="F161" s="262" t="s">
        <v>1178</v>
      </c>
      <c r="G161" s="262" t="s">
        <v>1177</v>
      </c>
      <c r="H161" s="194" t="s">
        <v>1140</v>
      </c>
      <c r="I161" s="240" t="s">
        <v>1141</v>
      </c>
      <c r="J161" s="197" t="s">
        <v>1142</v>
      </c>
      <c r="K161" s="290">
        <v>343000</v>
      </c>
      <c r="L161" s="227" t="s">
        <v>1242</v>
      </c>
      <c r="M161" s="235" t="s">
        <v>979</v>
      </c>
      <c r="N161" s="228"/>
      <c r="O161" s="228"/>
      <c r="P161" s="228"/>
      <c r="Q161" s="228"/>
      <c r="R161" s="228"/>
      <c r="S161" s="228"/>
      <c r="T161" s="228"/>
      <c r="U161" s="228"/>
      <c r="V161" s="228"/>
    </row>
    <row r="162" spans="1:22" s="227" customFormat="1" x14ac:dyDescent="0.3">
      <c r="A162" s="190">
        <v>13</v>
      </c>
      <c r="B162" s="221" t="s">
        <v>980</v>
      </c>
      <c r="C162" s="255" t="s">
        <v>1177</v>
      </c>
      <c r="D162" s="261" t="s">
        <v>1009</v>
      </c>
      <c r="E162" s="262" t="s">
        <v>1177</v>
      </c>
      <c r="F162" s="262" t="s">
        <v>1038</v>
      </c>
      <c r="G162" s="262" t="s">
        <v>1038</v>
      </c>
      <c r="H162" s="194" t="s">
        <v>1143</v>
      </c>
      <c r="I162" s="240" t="s">
        <v>1144</v>
      </c>
      <c r="J162" s="197" t="s">
        <v>1145</v>
      </c>
      <c r="K162" s="290"/>
      <c r="L162" s="227" t="s">
        <v>1270</v>
      </c>
      <c r="M162" s="235" t="s">
        <v>990</v>
      </c>
      <c r="N162" s="228"/>
      <c r="O162" s="228"/>
      <c r="P162" s="228"/>
      <c r="Q162" s="228"/>
      <c r="R162" s="228"/>
      <c r="S162" s="228"/>
      <c r="T162" s="228"/>
      <c r="U162" s="228"/>
      <c r="V162" s="228"/>
    </row>
    <row r="163" spans="1:22" s="227" customFormat="1" x14ac:dyDescent="0.3">
      <c r="A163" s="246">
        <v>14</v>
      </c>
      <c r="B163" s="221" t="s">
        <v>981</v>
      </c>
      <c r="C163" s="255" t="s">
        <v>1038</v>
      </c>
      <c r="D163" s="261" t="s">
        <v>1009</v>
      </c>
      <c r="E163" s="262" t="s">
        <v>1177</v>
      </c>
      <c r="F163" s="262" t="s">
        <v>1178</v>
      </c>
      <c r="G163" s="262" t="s">
        <v>1038</v>
      </c>
      <c r="H163" s="194" t="s">
        <v>1195</v>
      </c>
      <c r="I163" s="240" t="s">
        <v>1194</v>
      </c>
      <c r="J163" s="197" t="s">
        <v>1146</v>
      </c>
      <c r="K163" s="290"/>
      <c r="L163" s="227" t="s">
        <v>1196</v>
      </c>
      <c r="M163" s="235" t="s">
        <v>990</v>
      </c>
      <c r="N163" s="228"/>
      <c r="O163" s="228"/>
      <c r="P163" s="228"/>
      <c r="Q163" s="228"/>
      <c r="R163" s="228"/>
      <c r="S163" s="228"/>
      <c r="T163" s="228"/>
      <c r="U163" s="228"/>
      <c r="V163" s="228"/>
    </row>
    <row r="164" spans="1:22" s="227" customFormat="1" x14ac:dyDescent="0.3">
      <c r="A164" s="190">
        <v>15</v>
      </c>
      <c r="B164" s="221" t="s">
        <v>982</v>
      </c>
      <c r="C164" s="255" t="s">
        <v>1038</v>
      </c>
      <c r="D164" s="261" t="s">
        <v>1009</v>
      </c>
      <c r="E164" s="262" t="s">
        <v>1177</v>
      </c>
      <c r="F164" s="262" t="s">
        <v>1178</v>
      </c>
      <c r="G164" s="262" t="s">
        <v>1177</v>
      </c>
      <c r="H164" s="194" t="s">
        <v>1147</v>
      </c>
      <c r="I164" s="240" t="s">
        <v>1148</v>
      </c>
      <c r="J164" s="197" t="s">
        <v>1149</v>
      </c>
      <c r="K164" s="290">
        <v>164277</v>
      </c>
      <c r="L164" s="227" t="s">
        <v>15</v>
      </c>
      <c r="M164" s="235" t="s">
        <v>990</v>
      </c>
      <c r="N164" s="228"/>
      <c r="O164" s="228"/>
      <c r="P164" s="228"/>
      <c r="Q164" s="228"/>
      <c r="R164" s="228"/>
      <c r="S164" s="228"/>
      <c r="T164" s="228"/>
      <c r="U164" s="228"/>
      <c r="V164" s="228"/>
    </row>
    <row r="165" spans="1:22" s="227" customFormat="1" x14ac:dyDescent="0.3">
      <c r="A165" s="190">
        <v>16</v>
      </c>
      <c r="B165" s="221" t="s">
        <v>983</v>
      </c>
      <c r="C165" s="255" t="s">
        <v>1038</v>
      </c>
      <c r="D165" s="261" t="s">
        <v>1009</v>
      </c>
      <c r="E165" s="262" t="s">
        <v>1038</v>
      </c>
      <c r="F165" s="262" t="s">
        <v>1178</v>
      </c>
      <c r="G165" s="262" t="s">
        <v>1177</v>
      </c>
      <c r="H165" s="194" t="s">
        <v>1150</v>
      </c>
      <c r="I165" s="240" t="s">
        <v>1151</v>
      </c>
      <c r="J165" s="197" t="s">
        <v>1152</v>
      </c>
      <c r="K165" s="290">
        <v>133323</v>
      </c>
      <c r="L165" s="227" t="s">
        <v>1254</v>
      </c>
      <c r="M165" s="235" t="s">
        <v>990</v>
      </c>
      <c r="N165" s="228"/>
      <c r="O165" s="228"/>
      <c r="P165" s="228"/>
      <c r="Q165" s="228"/>
      <c r="R165" s="228"/>
      <c r="S165" s="228"/>
      <c r="T165" s="228"/>
      <c r="U165" s="228"/>
      <c r="V165" s="228"/>
    </row>
    <row r="166" spans="1:22" s="227" customFormat="1" x14ac:dyDescent="0.3">
      <c r="A166" s="246">
        <v>17</v>
      </c>
      <c r="B166" s="221" t="s">
        <v>984</v>
      </c>
      <c r="C166" s="255" t="s">
        <v>1038</v>
      </c>
      <c r="D166" s="261" t="s">
        <v>1009</v>
      </c>
      <c r="E166" s="262" t="s">
        <v>1038</v>
      </c>
      <c r="F166" s="262" t="s">
        <v>1178</v>
      </c>
      <c r="G166" s="262" t="s">
        <v>1177</v>
      </c>
      <c r="H166" s="194" t="s">
        <v>1153</v>
      </c>
      <c r="I166" s="240" t="s">
        <v>1154</v>
      </c>
      <c r="J166" s="197" t="s">
        <v>1155</v>
      </c>
      <c r="K166" s="290">
        <v>93719.6</v>
      </c>
      <c r="M166" s="235" t="s">
        <v>990</v>
      </c>
      <c r="N166" s="228"/>
      <c r="O166" s="228"/>
      <c r="P166" s="228"/>
      <c r="Q166" s="228"/>
      <c r="R166" s="228"/>
      <c r="S166" s="228"/>
      <c r="T166" s="228"/>
      <c r="U166" s="228"/>
      <c r="V166" s="228"/>
    </row>
    <row r="167" spans="1:22" s="227" customFormat="1" x14ac:dyDescent="0.3">
      <c r="A167" s="190">
        <v>18</v>
      </c>
      <c r="B167" s="221" t="s">
        <v>985</v>
      </c>
      <c r="C167" s="255" t="s">
        <v>1038</v>
      </c>
      <c r="D167" s="261" t="s">
        <v>1008</v>
      </c>
      <c r="E167" s="262" t="s">
        <v>1038</v>
      </c>
      <c r="F167" s="262" t="s">
        <v>1179</v>
      </c>
      <c r="G167" s="262" t="s">
        <v>1038</v>
      </c>
      <c r="H167" s="194" t="s">
        <v>1156</v>
      </c>
      <c r="I167" s="240" t="s">
        <v>1157</v>
      </c>
      <c r="J167" s="197" t="s">
        <v>1158</v>
      </c>
      <c r="K167" s="290"/>
      <c r="M167" s="235" t="s">
        <v>990</v>
      </c>
      <c r="N167" s="228"/>
      <c r="O167" s="228"/>
      <c r="P167" s="228"/>
      <c r="Q167" s="228"/>
      <c r="R167" s="228"/>
      <c r="S167" s="228"/>
      <c r="T167" s="228"/>
      <c r="U167" s="228"/>
      <c r="V167" s="228"/>
    </row>
    <row r="168" spans="1:22" s="227" customFormat="1" x14ac:dyDescent="0.3">
      <c r="A168" s="246">
        <v>19</v>
      </c>
      <c r="B168" s="221" t="s">
        <v>986</v>
      </c>
      <c r="C168" s="255" t="s">
        <v>1038</v>
      </c>
      <c r="D168" s="261" t="s">
        <v>1009</v>
      </c>
      <c r="E168" s="262" t="s">
        <v>1177</v>
      </c>
      <c r="F168" s="262" t="s">
        <v>1178</v>
      </c>
      <c r="G168" s="262" t="s">
        <v>1177</v>
      </c>
      <c r="H168" s="194" t="s">
        <v>1159</v>
      </c>
      <c r="I168" s="240" t="s">
        <v>1160</v>
      </c>
      <c r="J168" s="197" t="s">
        <v>1161</v>
      </c>
      <c r="K168" s="290">
        <v>88948</v>
      </c>
      <c r="M168" s="235" t="s">
        <v>990</v>
      </c>
      <c r="N168" s="228"/>
      <c r="O168" s="228"/>
      <c r="P168" s="228"/>
      <c r="Q168" s="228"/>
      <c r="R168" s="228"/>
      <c r="S168" s="228"/>
      <c r="T168" s="228"/>
      <c r="U168" s="228"/>
      <c r="V168" s="228"/>
    </row>
    <row r="169" spans="1:22" s="227" customFormat="1" x14ac:dyDescent="0.3">
      <c r="A169" s="190">
        <v>20</v>
      </c>
      <c r="B169" s="221" t="s">
        <v>987</v>
      </c>
      <c r="C169" s="255" t="s">
        <v>1038</v>
      </c>
      <c r="D169" s="261" t="s">
        <v>1009</v>
      </c>
      <c r="E169" s="262" t="s">
        <v>1038</v>
      </c>
      <c r="F169" s="262" t="s">
        <v>1178</v>
      </c>
      <c r="G169" s="262" t="s">
        <v>1177</v>
      </c>
      <c r="H169" s="194" t="s">
        <v>1162</v>
      </c>
      <c r="I169" s="240" t="s">
        <v>1164</v>
      </c>
      <c r="J169" s="197" t="s">
        <v>1163</v>
      </c>
      <c r="K169" s="290">
        <v>67519.23</v>
      </c>
      <c r="L169" s="227" t="s">
        <v>1197</v>
      </c>
      <c r="M169" s="235" t="s">
        <v>990</v>
      </c>
      <c r="N169" s="228"/>
      <c r="O169" s="228"/>
      <c r="P169" s="228"/>
      <c r="Q169" s="228"/>
      <c r="R169" s="228"/>
      <c r="S169" s="228"/>
      <c r="T169" s="228"/>
      <c r="U169" s="228"/>
      <c r="V169" s="228"/>
    </row>
    <row r="170" spans="1:22" s="227" customFormat="1" x14ac:dyDescent="0.3">
      <c r="A170" s="190">
        <v>21</v>
      </c>
      <c r="B170" s="221" t="s">
        <v>988</v>
      </c>
      <c r="C170" s="255" t="s">
        <v>1038</v>
      </c>
      <c r="D170" s="261" t="s">
        <v>1009</v>
      </c>
      <c r="E170" s="262" t="s">
        <v>1177</v>
      </c>
      <c r="F170" s="262" t="s">
        <v>1178</v>
      </c>
      <c r="G170" s="262" t="s">
        <v>1177</v>
      </c>
      <c r="H170" s="194" t="s">
        <v>1165</v>
      </c>
      <c r="I170" s="240" t="s">
        <v>1166</v>
      </c>
      <c r="J170" s="197" t="s">
        <v>1167</v>
      </c>
      <c r="K170" s="290">
        <v>101195</v>
      </c>
      <c r="L170" s="227" t="s">
        <v>1190</v>
      </c>
      <c r="M170" s="235" t="s">
        <v>990</v>
      </c>
      <c r="N170" s="228"/>
      <c r="O170" s="228"/>
      <c r="P170" s="228"/>
      <c r="Q170" s="228"/>
      <c r="R170" s="228"/>
      <c r="S170" s="228"/>
      <c r="T170" s="228"/>
      <c r="U170" s="228"/>
      <c r="V170" s="228"/>
    </row>
    <row r="171" spans="1:22" s="227" customFormat="1" ht="15" thickBot="1" x14ac:dyDescent="0.35">
      <c r="A171" s="246">
        <v>22</v>
      </c>
      <c r="B171" s="221" t="s">
        <v>989</v>
      </c>
      <c r="C171" s="254" t="s">
        <v>1038</v>
      </c>
      <c r="D171" s="260" t="s">
        <v>1009</v>
      </c>
      <c r="E171" s="262" t="s">
        <v>1177</v>
      </c>
      <c r="F171" s="269" t="s">
        <v>1038</v>
      </c>
      <c r="G171" s="269" t="s">
        <v>1177</v>
      </c>
      <c r="H171" s="194" t="s">
        <v>1168</v>
      </c>
      <c r="I171" s="240" t="s">
        <v>1169</v>
      </c>
      <c r="J171" s="197" t="s">
        <v>1170</v>
      </c>
      <c r="K171" s="290">
        <v>76199</v>
      </c>
      <c r="L171" s="227" t="s">
        <v>1245</v>
      </c>
      <c r="M171" s="235" t="s">
        <v>990</v>
      </c>
      <c r="N171" s="228"/>
      <c r="O171" s="228"/>
      <c r="P171" s="228"/>
      <c r="Q171" s="228"/>
      <c r="R171" s="228"/>
      <c r="S171" s="228"/>
      <c r="T171" s="228"/>
      <c r="U171" s="228"/>
      <c r="V171" s="228"/>
    </row>
    <row r="172" spans="1:22" s="223" customFormat="1" ht="15" thickBot="1" x14ac:dyDescent="0.35">
      <c r="B172" s="222" t="s">
        <v>321</v>
      </c>
      <c r="C172" s="253"/>
      <c r="D172" s="253"/>
      <c r="E172" s="253"/>
      <c r="F172" s="271" t="s">
        <v>1246</v>
      </c>
      <c r="G172" s="272">
        <f>COUNTIF(G173:G182,"YES")</f>
        <v>5</v>
      </c>
      <c r="H172" s="185"/>
      <c r="I172" s="188"/>
      <c r="J172" s="188"/>
      <c r="K172" s="288"/>
      <c r="M172" s="236"/>
      <c r="N172" s="224"/>
      <c r="O172" s="224"/>
      <c r="P172" s="224"/>
      <c r="Q172" s="224"/>
      <c r="R172" s="224"/>
      <c r="S172" s="224"/>
      <c r="T172" s="224"/>
      <c r="U172" s="224"/>
      <c r="V172" s="224"/>
    </row>
    <row r="173" spans="1:22" s="190" customFormat="1" x14ac:dyDescent="0.3">
      <c r="A173" s="241">
        <v>1</v>
      </c>
      <c r="B173" s="190" t="s">
        <v>962</v>
      </c>
      <c r="C173" s="251" t="s">
        <v>1177</v>
      </c>
      <c r="D173" s="251" t="s">
        <v>1009</v>
      </c>
      <c r="E173" s="263" t="s">
        <v>1177</v>
      </c>
      <c r="F173" s="270" t="s">
        <v>1178</v>
      </c>
      <c r="G173" s="270" t="s">
        <v>1177</v>
      </c>
      <c r="H173" s="190" t="s">
        <v>1039</v>
      </c>
      <c r="I173" s="239" t="s">
        <v>1171</v>
      </c>
      <c r="J173" s="190" t="s">
        <v>1041</v>
      </c>
      <c r="K173" s="284" t="s">
        <v>1271</v>
      </c>
      <c r="L173" s="190" t="s">
        <v>1240</v>
      </c>
      <c r="M173" s="235" t="s">
        <v>1004</v>
      </c>
      <c r="N173" s="106"/>
      <c r="O173" s="106"/>
      <c r="P173" s="106"/>
      <c r="Q173" s="106"/>
      <c r="R173" s="106"/>
      <c r="S173" s="106"/>
      <c r="T173" s="106"/>
      <c r="U173" s="106"/>
      <c r="V173" s="106"/>
    </row>
    <row r="174" spans="1:22" s="190" customFormat="1" x14ac:dyDescent="0.3">
      <c r="A174" s="241">
        <v>2</v>
      </c>
      <c r="B174" s="190" t="s">
        <v>963</v>
      </c>
      <c r="C174" s="251" t="s">
        <v>1038</v>
      </c>
      <c r="D174" s="251" t="s">
        <v>1009</v>
      </c>
      <c r="E174" s="263" t="s">
        <v>1038</v>
      </c>
      <c r="F174" s="263" t="s">
        <v>1179</v>
      </c>
      <c r="G174" s="263" t="s">
        <v>1038</v>
      </c>
      <c r="H174" s="190" t="s">
        <v>1043</v>
      </c>
      <c r="I174" s="239" t="s">
        <v>1045</v>
      </c>
      <c r="J174" s="190" t="s">
        <v>1044</v>
      </c>
      <c r="K174" s="284"/>
      <c r="M174" s="235" t="s">
        <v>1004</v>
      </c>
      <c r="N174" s="106"/>
      <c r="O174" s="106"/>
      <c r="P174" s="106"/>
      <c r="Q174" s="106"/>
      <c r="R174" s="106"/>
      <c r="S174" s="106"/>
      <c r="T174" s="106"/>
      <c r="U174" s="106"/>
      <c r="V174" s="106"/>
    </row>
    <row r="175" spans="1:22" s="190" customFormat="1" x14ac:dyDescent="0.3">
      <c r="A175" s="241">
        <v>3</v>
      </c>
      <c r="B175" s="190" t="s">
        <v>961</v>
      </c>
      <c r="C175" s="251" t="s">
        <v>1038</v>
      </c>
      <c r="D175" s="251" t="s">
        <v>1009</v>
      </c>
      <c r="E175" s="263" t="s">
        <v>1177</v>
      </c>
      <c r="F175" s="263" t="s">
        <v>1178</v>
      </c>
      <c r="G175" s="263" t="s">
        <v>1177</v>
      </c>
      <c r="H175" s="190" t="s">
        <v>1172</v>
      </c>
      <c r="I175" s="239" t="s">
        <v>1173</v>
      </c>
      <c r="J175" s="190" t="s">
        <v>1174</v>
      </c>
      <c r="K175" s="284" t="s">
        <v>1271</v>
      </c>
      <c r="L175" s="227" t="s">
        <v>1255</v>
      </c>
      <c r="M175" s="235" t="s">
        <v>1004</v>
      </c>
      <c r="N175" s="106"/>
      <c r="O175" s="106"/>
      <c r="P175" s="106"/>
      <c r="Q175" s="106"/>
      <c r="R175" s="106"/>
      <c r="S175" s="106"/>
      <c r="T175" s="106"/>
      <c r="U175" s="106"/>
      <c r="V175" s="106"/>
    </row>
    <row r="176" spans="1:22" s="190" customFormat="1" x14ac:dyDescent="0.3">
      <c r="A176" s="241">
        <v>4</v>
      </c>
      <c r="B176" s="190" t="s">
        <v>964</v>
      </c>
      <c r="C176" s="251" t="s">
        <v>1038</v>
      </c>
      <c r="D176" s="251" t="s">
        <v>1009</v>
      </c>
      <c r="E176" s="263" t="s">
        <v>1038</v>
      </c>
      <c r="F176" s="263" t="s">
        <v>1178</v>
      </c>
      <c r="G176" s="263" t="s">
        <v>1177</v>
      </c>
      <c r="H176" s="190" t="s">
        <v>1046</v>
      </c>
      <c r="I176" s="239" t="s">
        <v>1047</v>
      </c>
      <c r="J176" s="190" t="s">
        <v>1048</v>
      </c>
      <c r="K176" s="284" t="s">
        <v>1271</v>
      </c>
      <c r="L176" s="190" t="s">
        <v>1243</v>
      </c>
      <c r="M176" s="235" t="s">
        <v>1004</v>
      </c>
      <c r="N176" s="106"/>
      <c r="O176" s="106"/>
      <c r="P176" s="106"/>
      <c r="Q176" s="106"/>
      <c r="R176" s="106"/>
      <c r="S176" s="106"/>
      <c r="T176" s="106"/>
      <c r="U176" s="106"/>
      <c r="V176" s="106"/>
    </row>
    <row r="177" spans="1:22" s="190" customFormat="1" x14ac:dyDescent="0.3">
      <c r="A177" s="241">
        <v>5</v>
      </c>
      <c r="B177" s="190" t="s">
        <v>965</v>
      </c>
      <c r="C177" s="251" t="s">
        <v>1038</v>
      </c>
      <c r="D177" s="251" t="s">
        <v>1011</v>
      </c>
      <c r="E177" s="263" t="s">
        <v>1038</v>
      </c>
      <c r="F177" s="263" t="s">
        <v>1179</v>
      </c>
      <c r="G177" s="263" t="s">
        <v>1038</v>
      </c>
      <c r="H177" s="190" t="s">
        <v>1049</v>
      </c>
      <c r="I177" s="239" t="s">
        <v>1050</v>
      </c>
      <c r="J177" s="190" t="s">
        <v>1051</v>
      </c>
      <c r="K177" s="284"/>
      <c r="M177" s="235" t="s">
        <v>1004</v>
      </c>
      <c r="N177" s="106"/>
      <c r="O177" s="106"/>
      <c r="P177" s="106"/>
      <c r="Q177" s="106"/>
      <c r="R177" s="106"/>
      <c r="S177" s="106"/>
      <c r="T177" s="106"/>
      <c r="U177" s="106"/>
      <c r="V177" s="106"/>
    </row>
    <row r="178" spans="1:22" s="190" customFormat="1" x14ac:dyDescent="0.3">
      <c r="A178" s="241">
        <v>6</v>
      </c>
      <c r="B178" s="190" t="s">
        <v>966</v>
      </c>
      <c r="C178" s="251" t="s">
        <v>1038</v>
      </c>
      <c r="D178" s="251" t="s">
        <v>1008</v>
      </c>
      <c r="E178" s="263" t="s">
        <v>1038</v>
      </c>
      <c r="F178" s="263" t="s">
        <v>1179</v>
      </c>
      <c r="G178" s="263" t="s">
        <v>1038</v>
      </c>
      <c r="H178" s="190" t="s">
        <v>1052</v>
      </c>
      <c r="I178" s="239" t="s">
        <v>1053</v>
      </c>
      <c r="J178" s="190" t="s">
        <v>1054</v>
      </c>
      <c r="K178" s="284"/>
      <c r="M178" s="235" t="s">
        <v>1004</v>
      </c>
      <c r="N178" s="106"/>
      <c r="O178" s="106"/>
      <c r="P178" s="106"/>
      <c r="Q178" s="106"/>
      <c r="R178" s="106"/>
      <c r="S178" s="106"/>
      <c r="T178" s="106"/>
      <c r="U178" s="106"/>
      <c r="V178" s="106"/>
    </row>
    <row r="179" spans="1:22" s="190" customFormat="1" x14ac:dyDescent="0.3">
      <c r="A179" s="241">
        <v>7</v>
      </c>
      <c r="B179" s="190" t="s">
        <v>967</v>
      </c>
      <c r="C179" s="251" t="s">
        <v>1038</v>
      </c>
      <c r="D179" s="251" t="s">
        <v>1011</v>
      </c>
      <c r="E179" s="263" t="s">
        <v>1038</v>
      </c>
      <c r="F179" s="263" t="s">
        <v>1038</v>
      </c>
      <c r="G179" s="263" t="s">
        <v>1038</v>
      </c>
      <c r="H179" s="190" t="s">
        <v>1016</v>
      </c>
      <c r="I179" s="239" t="s">
        <v>1176</v>
      </c>
      <c r="J179" s="190" t="s">
        <v>1016</v>
      </c>
      <c r="K179" s="284"/>
      <c r="M179" s="235" t="s">
        <v>1004</v>
      </c>
      <c r="N179" s="106"/>
      <c r="O179" s="106"/>
      <c r="P179" s="106"/>
      <c r="Q179" s="106"/>
      <c r="R179" s="106"/>
      <c r="S179" s="106"/>
      <c r="T179" s="106"/>
      <c r="U179" s="106"/>
      <c r="V179" s="106"/>
    </row>
    <row r="180" spans="1:22" s="190" customFormat="1" x14ac:dyDescent="0.3">
      <c r="A180" s="241">
        <v>8</v>
      </c>
      <c r="B180" s="190" t="s">
        <v>968</v>
      </c>
      <c r="C180" s="251" t="s">
        <v>1038</v>
      </c>
      <c r="D180" s="251" t="s">
        <v>1009</v>
      </c>
      <c r="E180" s="263" t="s">
        <v>1038</v>
      </c>
      <c r="F180" s="263" t="s">
        <v>1178</v>
      </c>
      <c r="G180" s="263" t="s">
        <v>1177</v>
      </c>
      <c r="H180" s="190" t="s">
        <v>1058</v>
      </c>
      <c r="I180" s="239" t="s">
        <v>1059</v>
      </c>
      <c r="J180" s="190" t="s">
        <v>1060</v>
      </c>
      <c r="K180" s="284" t="s">
        <v>1271</v>
      </c>
      <c r="L180" s="190" t="s">
        <v>1255</v>
      </c>
      <c r="M180" s="235" t="s">
        <v>1004</v>
      </c>
      <c r="N180" s="106"/>
      <c r="O180" s="106"/>
      <c r="P180" s="106"/>
      <c r="Q180" s="106"/>
      <c r="R180" s="106"/>
      <c r="S180" s="106"/>
      <c r="T180" s="106"/>
      <c r="U180" s="106"/>
      <c r="V180" s="106"/>
    </row>
    <row r="181" spans="1:22" s="190" customFormat="1" x14ac:dyDescent="0.3">
      <c r="A181" s="241">
        <v>9</v>
      </c>
      <c r="B181" s="190" t="s">
        <v>1003</v>
      </c>
      <c r="C181" s="251" t="s">
        <v>1189</v>
      </c>
      <c r="D181" s="251" t="s">
        <v>1009</v>
      </c>
      <c r="E181" s="263" t="s">
        <v>1177</v>
      </c>
      <c r="F181" s="263" t="s">
        <v>1178</v>
      </c>
      <c r="G181" s="263" t="s">
        <v>1038</v>
      </c>
      <c r="H181" s="190" t="s">
        <v>1202</v>
      </c>
      <c r="I181" s="239" t="s">
        <v>1203</v>
      </c>
      <c r="J181" s="190" t="s">
        <v>1042</v>
      </c>
      <c r="K181" s="284"/>
      <c r="M181" s="235" t="s">
        <v>1004</v>
      </c>
      <c r="N181" s="106"/>
      <c r="O181" s="106"/>
      <c r="P181" s="106"/>
      <c r="Q181" s="106"/>
      <c r="R181" s="106"/>
      <c r="S181" s="106"/>
      <c r="T181" s="106"/>
      <c r="U181" s="106"/>
      <c r="V181" s="106"/>
    </row>
    <row r="182" spans="1:22" s="190" customFormat="1" x14ac:dyDescent="0.3">
      <c r="A182" s="241">
        <v>10</v>
      </c>
      <c r="B182" s="190" t="s">
        <v>969</v>
      </c>
      <c r="C182" s="251" t="s">
        <v>1038</v>
      </c>
      <c r="D182" s="251" t="s">
        <v>1009</v>
      </c>
      <c r="E182" s="263" t="s">
        <v>1038</v>
      </c>
      <c r="F182" s="263" t="s">
        <v>1178</v>
      </c>
      <c r="G182" s="263" t="s">
        <v>1177</v>
      </c>
      <c r="H182" s="190" t="s">
        <v>1061</v>
      </c>
      <c r="I182" s="239" t="s">
        <v>1062</v>
      </c>
      <c r="J182" s="190" t="s">
        <v>1063</v>
      </c>
      <c r="K182" s="284" t="s">
        <v>1271</v>
      </c>
      <c r="L182" s="190" t="s">
        <v>1240</v>
      </c>
      <c r="M182" s="235" t="s">
        <v>1004</v>
      </c>
      <c r="N182" s="106"/>
      <c r="O182" s="106"/>
      <c r="P182" s="106"/>
      <c r="Q182" s="106"/>
      <c r="R182" s="106"/>
      <c r="S182" s="106"/>
      <c r="T182" s="106"/>
      <c r="U182" s="106"/>
      <c r="V182" s="106"/>
    </row>
  </sheetData>
  <conditionalFormatting sqref="C1:C1048576">
    <cfRule type="cellIs" dxfId="17" priority="5" operator="equal">
      <formula>"Received Drawings but never sent price"</formula>
    </cfRule>
  </conditionalFormatting>
  <conditionalFormatting sqref="C15:C26 C35 C96:C106 C108:C118 C138:C148 C150:C171 C173:C182">
    <cfRule type="cellIs" dxfId="16" priority="6" operator="equal">
      <formula>"No"</formula>
    </cfRule>
    <cfRule type="cellIs" dxfId="15" priority="7" operator="equal">
      <formula>"Yes"</formula>
    </cfRule>
  </conditionalFormatting>
  <conditionalFormatting sqref="C88:C94">
    <cfRule type="cellIs" dxfId="14" priority="1" operator="equal">
      <formula>"No"</formula>
    </cfRule>
    <cfRule type="cellIs" dxfId="13" priority="2" operator="equal">
      <formula>"Yes"</formula>
    </cfRule>
  </conditionalFormatting>
  <conditionalFormatting sqref="D3:D7 D9:D13 D15:D26 D28:D32 D34:D38 D40:D44 D46:D50 D52:D56 D58:D62 D64:D68 D70:D74 D76:D80 D82:D86 D88:D94 D96:D106 D108:D118 D120:D124 D126:D130 D132:D136 D138:D148 D150:D171 D173:D182">
    <cfRule type="cellIs" dxfId="12" priority="17" operator="equal">
      <formula>"Undecided"</formula>
    </cfRule>
    <cfRule type="cellIs" dxfId="11" priority="18" operator="equal">
      <formula>"Not Bidding"</formula>
    </cfRule>
    <cfRule type="cellIs" dxfId="10" priority="19" operator="equal">
      <formula>"Bidding"</formula>
    </cfRule>
  </conditionalFormatting>
  <conditionalFormatting sqref="E3:G7 E9:G13 E15:G26 E28:G32 E34:G38 E40:G44 E46:G50 E52:G56 E58:G62 E64:G68 E70:G74 E76:G80 E82:G86 E88:G94 E96:G106 E108:G118 E120:G124 E126:G130 E132:G136 E138:G148 E150:G171 E173:G182">
    <cfRule type="cellIs" dxfId="9" priority="15" operator="equal">
      <formula>"Yes"</formula>
    </cfRule>
  </conditionalFormatting>
  <conditionalFormatting sqref="E3:G7 E9:G13 E15:G26 E28:G32 E34:G38 E40:G44 E46:G50 E52:G56 E58:G62 E64:G68 E70:G74 E76:G80 E82:G86 E88:G94 E120:G124 E126:G130 E132:G136">
    <cfRule type="cellIs" dxfId="8" priority="16" operator="equal">
      <formula>"No"</formula>
    </cfRule>
  </conditionalFormatting>
  <conditionalFormatting sqref="E96:G106 E108:G118 E138:G148 E150:G171 E173:G182">
    <cfRule type="cellIs" dxfId="7" priority="8" operator="equal">
      <formula>"No"</formula>
    </cfRule>
  </conditionalFormatting>
  <conditionalFormatting sqref="F1:F1048576">
    <cfRule type="cellIs" dxfId="6" priority="3" operator="equal">
      <formula>"Yes (spoke to)"</formula>
    </cfRule>
    <cfRule type="cellIs" dxfId="5" priority="4" operator="equal">
      <formula>"Yes (spoke to)"</formula>
    </cfRule>
  </conditionalFormatting>
  <conditionalFormatting sqref="F15:F26">
    <cfRule type="cellIs" dxfId="4" priority="13" operator="equal">
      <formula>"Yes (no answer)"</formula>
    </cfRule>
    <cfRule type="cellIs" dxfId="3" priority="14" operator="equal">
      <formula>"Yes (spoke to)"</formula>
    </cfRule>
  </conditionalFormatting>
  <conditionalFormatting sqref="F96:F106 F108:F118 F138:F148 F150:F171 F173:F182">
    <cfRule type="cellIs" dxfId="2" priority="9" operator="equal">
      <formula>"Yes (no answer)"</formula>
    </cfRule>
    <cfRule type="cellIs" dxfId="1" priority="10" operator="equal">
      <formula>"Yes (spoke to)"</formula>
    </cfRule>
  </conditionalFormatting>
  <conditionalFormatting sqref="F96:F106">
    <cfRule type="cellIs" dxfId="0" priority="11" operator="equal">
      <formula>"Yes (no answer)"</formula>
    </cfRule>
  </conditionalFormatting>
  <dataValidations count="4">
    <dataValidation type="list" allowBlank="1" showInputMessage="1" showErrorMessage="1" sqref="D3:D7 D9:D13 D15:D26 D28:D32 D34:D38 D40:D44 D46:D50 D52:D56 D58:D62 D64:D68 D70:D74 D76:D80 D82:D86 D88:D94 D96:D106 D108:D118 D120:D124 D126:D130 D132:D136 D138:D148 D150:D171 D173:D182" xr:uid="{2652630F-D3E3-46AB-80C8-19778BBA9EAA}">
      <formula1>"Undecided, Bidding, Not Bidding"</formula1>
    </dataValidation>
    <dataValidation type="list" allowBlank="1" showInputMessage="1" showErrorMessage="1" sqref="E3:G7 E9:G13 G173:G182 E28:G32 E34:G38 E40:G44 E46:G50 E58:G62 E64:G68 E52:G56 E70:G74 E76:G80 E82:G86 E88:G94 G15:G26 G108:G118 E120:G124 E126:G130 E132:G136 G138:G148 G150:G171 E15:E26 E173:E182 E150:E171 E138:E148 E108:E118 E96:E106 G96:G106" xr:uid="{5DCE5B0E-4DBA-4BAD-A504-238D03F5174D}">
      <formula1>"Yes, No"</formula1>
    </dataValidation>
    <dataValidation type="list" allowBlank="1" showInputMessage="1" showErrorMessage="1" sqref="F15:F26 F96:F106 F108:F118 F138:F148 F150:F171 F173:F182" xr:uid="{8B36986B-5442-4820-B336-FCA54F000DE0}">
      <formula1>"Yes (spoke to), Yes (no answer), No"</formula1>
    </dataValidation>
    <dataValidation type="list" allowBlank="1" showInputMessage="1" showErrorMessage="1" sqref="C15:C26 C35 C96:C106 C108:C118 C138:C148 C150:C171 C173:C182 C88:C94" xr:uid="{32A1AD3C-70FD-4780-B6F9-CD0A08B7DF53}">
      <formula1>"Yes, No, Received Drawings but never sent price"</formula1>
    </dataValidation>
  </dataValidations>
  <hyperlinks>
    <hyperlink ref="I15" r:id="rId1" xr:uid="{4D3756D8-6AF0-4A12-831E-35BA9053E197}"/>
    <hyperlink ref="I18" r:id="rId2" xr:uid="{931C4C4A-42E1-4A65-8694-9D49D3BC095A}"/>
    <hyperlink ref="I17" r:id="rId3" xr:uid="{62640464-5E07-4EC4-9F39-81449D3F69B3}"/>
    <hyperlink ref="I19" r:id="rId4" xr:uid="{C90DCF52-2971-42B5-8F83-387FFBB23956}"/>
    <hyperlink ref="I20" r:id="rId5" xr:uid="{85134158-CE3B-4580-8101-DBF171F64029}"/>
    <hyperlink ref="I21" r:id="rId6" xr:uid="{DDBBC1A9-DD4F-42F5-8596-DF772FC807CF}"/>
    <hyperlink ref="I22" r:id="rId7" xr:uid="{96518BE3-6AAC-432E-B475-040E13987884}"/>
    <hyperlink ref="I23" r:id="rId8" xr:uid="{0E1E305A-6A35-46C7-9302-021229A3012C}"/>
    <hyperlink ref="I24" r:id="rId9" xr:uid="{74E59186-3003-4EB4-A05B-D1E4BB26310D}"/>
    <hyperlink ref="I138" r:id="rId10" xr:uid="{D42B6409-6ED9-4C0A-A48E-980E6DB81A9E}"/>
    <hyperlink ref="I146" r:id="rId11" display="kindredexcavating@hotmail.com" xr:uid="{848DF7C6-8802-4072-A193-31A77085B932}"/>
    <hyperlink ref="I139" r:id="rId12" xr:uid="{2720122F-B183-4BD8-9F84-89F9492E29A5}"/>
    <hyperlink ref="I140" r:id="rId13" xr:uid="{51A74554-D730-47E2-AA5F-5A131930DF73}"/>
    <hyperlink ref="I141" r:id="rId14" xr:uid="{B048685F-43E5-4112-9E1B-7620C0D2EB1A}"/>
    <hyperlink ref="I142" r:id="rId15" xr:uid="{697CC393-0C68-4236-9312-E024FE4765AE}"/>
    <hyperlink ref="I143" r:id="rId16" xr:uid="{1D9C61F7-A718-4D1F-96BD-BB0A2EFA1B91}"/>
    <hyperlink ref="I144" r:id="rId17" xr:uid="{9DF40F54-83EA-4874-90D9-F731AA0783B6}"/>
    <hyperlink ref="I145" r:id="rId18" xr:uid="{15C0C827-ABF3-4D6A-96AD-DE53DAE90618}"/>
    <hyperlink ref="I147" r:id="rId19" xr:uid="{DACCA39B-6921-4317-8C28-C6B527A49982}"/>
    <hyperlink ref="I96" r:id="rId20" xr:uid="{147ACAA4-92E6-4F07-8B49-339D2398EDC1}"/>
    <hyperlink ref="I97" r:id="rId21" xr:uid="{D5898649-75D6-4A07-8840-B6C3E2EB202B}"/>
    <hyperlink ref="I98" r:id="rId22" xr:uid="{64701AC6-4CB4-4FF9-B7C8-91EA64510848}"/>
    <hyperlink ref="I99" r:id="rId23" xr:uid="{C950E297-D644-46B8-BA8F-30521BF26EE1}"/>
    <hyperlink ref="I100" r:id="rId24" xr:uid="{0A40EDFF-4DFA-4AA3-909C-D2674DF6B496}"/>
    <hyperlink ref="I101" r:id="rId25" xr:uid="{C2926984-145E-4F64-865B-1E8556AB3612}"/>
    <hyperlink ref="I102" r:id="rId26" xr:uid="{9059161D-6944-4169-AC90-0B17DFC16EB9}"/>
    <hyperlink ref="I103" r:id="rId27" xr:uid="{7684A203-C951-4BF9-A32C-020ADD6F2691}"/>
    <hyperlink ref="I104" r:id="rId28" xr:uid="{3D135E10-1276-4A0D-9118-11658F7D60FB}"/>
    <hyperlink ref="I105" r:id="rId29" xr:uid="{D81EA20E-C3E3-49FF-B025-EE494020F05F}"/>
    <hyperlink ref="I106" r:id="rId30" xr:uid="{6B108A9A-FF5B-43EA-959D-83AD701ED91D}"/>
    <hyperlink ref="I108" r:id="rId31" xr:uid="{FD58D587-25FA-44EA-A828-A56392DD1A5B}"/>
    <hyperlink ref="I109" r:id="rId32" xr:uid="{31885086-AB27-43A0-BBDF-03D808CB1C60}"/>
    <hyperlink ref="I110" r:id="rId33" xr:uid="{F34CF09B-16FB-4BF7-A6C9-D787449EE8D7}"/>
    <hyperlink ref="I111" r:id="rId34" xr:uid="{20E077A0-9D2C-459B-B447-882DF5B4D907}"/>
    <hyperlink ref="I112" r:id="rId35" xr:uid="{60D0A889-3C85-45B9-ADCA-B861E6D3B1A4}"/>
    <hyperlink ref="I113" r:id="rId36" xr:uid="{CFEDEAEB-14C9-433E-A900-BEB129A2FC3B}"/>
    <hyperlink ref="I114" r:id="rId37" xr:uid="{C86312FB-3ACC-4CDB-ABB6-3B8FD824B07C}"/>
    <hyperlink ref="I115" r:id="rId38" xr:uid="{566988E9-5BF9-450E-AFED-3E4DE3FEF699}"/>
    <hyperlink ref="I116" r:id="rId39" xr:uid="{C5BBAE5E-27A3-4FDC-B417-B7AD3196D46F}"/>
    <hyperlink ref="I117" r:id="rId40" xr:uid="{65D30ECB-9A11-4F1E-B06F-E14EC2489D85}"/>
    <hyperlink ref="I118" r:id="rId41" xr:uid="{84BAC3F9-216F-4E58-9A15-7160881FE8B8}"/>
    <hyperlink ref="I150" r:id="rId42" xr:uid="{41BB80A3-42D4-468E-89E7-5FD3D4627B3A}"/>
    <hyperlink ref="I152" r:id="rId43" xr:uid="{30530456-5A22-4EC0-98DB-864658C5764E}"/>
    <hyperlink ref="I153" r:id="rId44" xr:uid="{3F05A621-818F-4768-93D4-762B82F5D7D0}"/>
    <hyperlink ref="I154" r:id="rId45" xr:uid="{432DD65B-165F-4EC8-8FE9-1CA435F9B332}"/>
    <hyperlink ref="I155" r:id="rId46" xr:uid="{C77235EB-BCE9-484D-B5FB-4F2981DAD2E1}"/>
    <hyperlink ref="I156" r:id="rId47" xr:uid="{A06A8F8E-1D0D-4B29-AB49-6B2EEE7E7D37}"/>
    <hyperlink ref="I157" r:id="rId48" xr:uid="{904B1F73-D0B1-49DA-8C17-2BA2AED721E0}"/>
    <hyperlink ref="I158" r:id="rId49" xr:uid="{1438288C-1C20-426D-B387-0DC05FD3030C}"/>
    <hyperlink ref="I160" r:id="rId50" xr:uid="{72E3E20C-F721-4A27-9AD3-B1FC08D50AC1}"/>
    <hyperlink ref="I161" r:id="rId51" xr:uid="{31A2EA47-3194-4913-AA81-20B33079A00D}"/>
    <hyperlink ref="I162" r:id="rId52" xr:uid="{66A9E1DD-7C77-4541-8D7E-0E7F2695D9BB}"/>
    <hyperlink ref="I163" r:id="rId53" xr:uid="{8D65B63A-3524-45F9-8661-33A53AD90348}"/>
    <hyperlink ref="I164" r:id="rId54" xr:uid="{96FC1635-EBB9-4AD6-8FCA-42D43F0268DD}"/>
    <hyperlink ref="I165" r:id="rId55" xr:uid="{2A87EF77-53F4-4BC3-983B-37D03CF4ED77}"/>
    <hyperlink ref="I166" r:id="rId56" xr:uid="{9F380054-F159-4D98-925A-72961BA32374}"/>
    <hyperlink ref="I167" r:id="rId57" xr:uid="{FD2BE555-0476-4DA4-A6A6-E137636D131F}"/>
    <hyperlink ref="I168" r:id="rId58" xr:uid="{BF216779-0C49-4D24-BE37-2F7EEF9A114A}"/>
    <hyperlink ref="I169" r:id="rId59" xr:uid="{CFF35DFF-C84C-4FFD-875E-8D216CE2D864}"/>
    <hyperlink ref="I170" r:id="rId60" xr:uid="{0C96E5CC-5609-4C56-B9F3-2F906130B948}"/>
    <hyperlink ref="I171" r:id="rId61" xr:uid="{C16FBAEC-42DD-419A-A16C-1625A49D3EE1}"/>
    <hyperlink ref="I173" r:id="rId62" xr:uid="{8CAF1490-54AB-4EDA-8683-9D51DB38F93F}"/>
    <hyperlink ref="I174" r:id="rId63" xr:uid="{08AA0739-8CBE-4F67-82D8-8F516A2AD932}"/>
    <hyperlink ref="I175" r:id="rId64" xr:uid="{90DA0CE7-D7FF-4459-9203-DF29C1AD6C97}"/>
    <hyperlink ref="I176" r:id="rId65" xr:uid="{D272AE16-FEFB-446D-B08C-32EBD7E79D03}"/>
    <hyperlink ref="I177" r:id="rId66" xr:uid="{289CFBD0-60AB-42E6-ABCE-A4E782E9D329}"/>
    <hyperlink ref="I178" r:id="rId67" xr:uid="{958BCE57-3267-42BA-9D10-49BCD957A339}"/>
    <hyperlink ref="I179" r:id="rId68" xr:uid="{2352A121-DF07-4313-B1FC-AF1D4D5A8445}"/>
    <hyperlink ref="I180" r:id="rId69" xr:uid="{E27F2B8A-A46A-48AB-A248-39F4BA729C47}"/>
    <hyperlink ref="I181" r:id="rId70" display="kindredexcavating@hotmail.com" xr:uid="{73C0413B-853C-43FC-B894-DE1865DE1BFD}"/>
    <hyperlink ref="I182" r:id="rId71" xr:uid="{E97C4CDA-48BB-48EC-B04F-071A03217807}"/>
    <hyperlink ref="I26" r:id="rId72" xr:uid="{FBA9753A-4D14-4AC0-AD06-992E9C26AB31}"/>
    <hyperlink ref="I151" r:id="rId73" xr:uid="{285B6D15-B3CD-40D6-BB35-533270002F7C}"/>
    <hyperlink ref="I16" r:id="rId74" xr:uid="{68EEB239-43FA-447F-BEE9-5F6BCAE59286}"/>
    <hyperlink ref="I94" r:id="rId75" xr:uid="{43F5D47A-F343-4785-9E79-57DDA9B7CC7D}"/>
    <hyperlink ref="I93" r:id="rId76" xr:uid="{4A380D18-B8B8-4142-A75C-9BACAA7B8A17}"/>
    <hyperlink ref="I92" r:id="rId77" xr:uid="{66EDC448-3149-423C-BC65-063F9A1B2B90}"/>
    <hyperlink ref="I91" r:id="rId78" xr:uid="{CA489D53-4EF3-405F-9FDB-D44E54E80E3D}"/>
    <hyperlink ref="I90" r:id="rId79" xr:uid="{6758B7D5-3612-4BFD-AA1E-511E8209DA84}"/>
    <hyperlink ref="I88" r:id="rId80" xr:uid="{46699FBB-637C-4C8B-AA6F-5FA89D949DF7}"/>
    <hyperlink ref="I148" r:id="rId81" xr:uid="{B7298EA2-2A4A-40D7-B25D-F314CDF8E786}"/>
    <hyperlink ref="I25" r:id="rId82" xr:uid="{63F41ED5-0F5C-47A4-851B-CB87F4D99F49}"/>
  </hyperlinks>
  <pageMargins left="0.7" right="0.7" top="0.75" bottom="0.75" header="0.3" footer="0.3"/>
  <pageSetup orientation="portrait" r:id="rId8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Estimate</vt:lpstr>
      <vt:lpstr>General Conditions</vt:lpstr>
      <vt:lpstr>QuantityTakeoff</vt:lpstr>
      <vt:lpstr>Importer Data Fields</vt:lpstr>
      <vt:lpstr>SubList</vt:lpstr>
      <vt:lpstr>Estimate!Print_Area</vt:lpstr>
      <vt:lpstr>Estimate!Print_Titles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Brandon Clymer</dc:creator>
  <cp:keywords/>
  <dc:description/>
  <cp:lastModifiedBy>Chad Tragesser</cp:lastModifiedBy>
  <cp:revision/>
  <dcterms:created xsi:type="dcterms:W3CDTF">2013-09-25T13:18:07Z</dcterms:created>
  <dcterms:modified xsi:type="dcterms:W3CDTF">2025-02-10T20:22:56Z</dcterms:modified>
  <cp:category/>
  <cp:contentStatus/>
</cp:coreProperties>
</file>