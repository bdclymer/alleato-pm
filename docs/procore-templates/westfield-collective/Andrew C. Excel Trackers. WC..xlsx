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lleato-my.sharepoint.com/personal/bclymer_alleatogroup_com/Documents/Alleato Group/2024 Jobs/24-115 Westfield Collective (Westfield, IN)/"/>
    </mc:Choice>
  </mc:AlternateContent>
  <xr:revisionPtr revIDLastSave="299" documentId="8_{5714AA19-4148-4D9E-B5C6-F8DB387999F9}" xr6:coauthVersionLast="47" xr6:coauthVersionMax="47" xr10:uidLastSave="{488A91B2-5FCE-4E72-B707-6E72806E01E5}"/>
  <bookViews>
    <workbookView minimized="1" xWindow="2700" yWindow="1872" windowWidth="17280" windowHeight="8880" firstSheet="4" activeTab="5" xr2:uid="{AC803DC9-776B-4639-950B-396E31DFBEC4}"/>
  </bookViews>
  <sheets>
    <sheet name="Door, Frame, HDWR delivery" sheetId="8" r:id="rId1"/>
    <sheet name="Sheet2" sheetId="10" r:id="rId2"/>
    <sheet name="Sheet3" sheetId="9" r:id="rId3"/>
    <sheet name="DGI 10.28.25 Pricing Update" sheetId="1" r:id="rId4"/>
    <sheet name="Sheet1" sheetId="7" r:id="rId5"/>
    <sheet name="Owner Provided Items" sheetId="2" r:id="rId6"/>
    <sheet name="Utility Tracker" sheetId="3" r:id="rId7"/>
    <sheet name="Change Order Status" sheetId="5" r:id="rId8"/>
    <sheet name="Budget Modifications" sheetId="6" r:id="rId9"/>
    <sheet name="Procurement Log" sheetId="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 r="F32" i="1"/>
  <c r="D37" i="1"/>
</calcChain>
</file>

<file path=xl/sharedStrings.xml><?xml version="1.0" encoding="utf-8"?>
<sst xmlns="http://schemas.openxmlformats.org/spreadsheetml/2006/main" count="1406" uniqueCount="653">
  <si>
    <t>Notes</t>
  </si>
  <si>
    <t>Opening</t>
  </si>
  <si>
    <t>Door</t>
  </si>
  <si>
    <t>Frame</t>
  </si>
  <si>
    <t>Hardware</t>
  </si>
  <si>
    <t>100A</t>
  </si>
  <si>
    <t>yes</t>
  </si>
  <si>
    <t>100B</t>
  </si>
  <si>
    <t>No</t>
  </si>
  <si>
    <t>101A</t>
  </si>
  <si>
    <t>Yes</t>
  </si>
  <si>
    <t>EX 111</t>
  </si>
  <si>
    <t>Vendor Spaces not getting doors?</t>
  </si>
  <si>
    <t>118A</t>
  </si>
  <si>
    <t>118B</t>
  </si>
  <si>
    <t>yes(x2)</t>
  </si>
  <si>
    <t>10 business days from 11/12, ask Vivian for update</t>
  </si>
  <si>
    <r>
      <t xml:space="preserve">Confirm jamb depth, head size, and anchoring for 121,122,123A,B,C,&amp;D. </t>
    </r>
    <r>
      <rPr>
        <b/>
        <i/>
        <u/>
        <sz val="11"/>
        <color theme="1"/>
        <rFont val="Aptos Narrow"/>
        <family val="2"/>
        <scheme val="minor"/>
      </rPr>
      <t>5 3/4" Jamb Depth, Multipurpose anchors and 2" studs ?</t>
    </r>
  </si>
  <si>
    <t>123A</t>
  </si>
  <si>
    <t>123B</t>
  </si>
  <si>
    <t>123C</t>
  </si>
  <si>
    <t>123D</t>
  </si>
  <si>
    <t>Volleyball bathrooms EX door?</t>
  </si>
  <si>
    <t>11/21 or 11/24</t>
  </si>
  <si>
    <t>Frames were ordered as welded should've been KD</t>
  </si>
  <si>
    <t>Andrew notified CIH 11/24</t>
  </si>
  <si>
    <t>EX106</t>
  </si>
  <si>
    <t>EX108</t>
  </si>
  <si>
    <t>OH101A</t>
  </si>
  <si>
    <t>OH101B</t>
  </si>
  <si>
    <t>OH102</t>
  </si>
  <si>
    <t>OH103</t>
  </si>
  <si>
    <t>OH118A</t>
  </si>
  <si>
    <t>OH118B</t>
  </si>
  <si>
    <t>OH123A</t>
  </si>
  <si>
    <t>OH123B</t>
  </si>
  <si>
    <t>OH123C</t>
  </si>
  <si>
    <t>Second LVL</t>
  </si>
  <si>
    <t>200A</t>
  </si>
  <si>
    <t>200B</t>
  </si>
  <si>
    <t>200C</t>
  </si>
  <si>
    <t>Andrew to confirm if door is onsite 11/24</t>
  </si>
  <si>
    <t>OH201A</t>
  </si>
  <si>
    <t>OH201B</t>
  </si>
  <si>
    <t>DGI Interior Design Updates 10/28/2025</t>
  </si>
  <si>
    <t>Floor Finish Private Room: Left Over Laminate Flooring</t>
  </si>
  <si>
    <t xml:space="preserve">Task </t>
  </si>
  <si>
    <t>Subcontractor</t>
  </si>
  <si>
    <t>Add or Credit</t>
  </si>
  <si>
    <t>Received?</t>
  </si>
  <si>
    <t>Labor to install LVT</t>
  </si>
  <si>
    <t>MKT Ready</t>
  </si>
  <si>
    <t>Add</t>
  </si>
  <si>
    <t>Labor to install wall base</t>
  </si>
  <si>
    <t>Floor transition from SF</t>
  </si>
  <si>
    <t>Diamond Glass</t>
  </si>
  <si>
    <t>Reduced tile height in Ice Cream from 4' to 3'</t>
  </si>
  <si>
    <t>Task</t>
  </si>
  <si>
    <t>Reduce Tile Backer</t>
  </si>
  <si>
    <t xml:space="preserve">Superior </t>
  </si>
  <si>
    <t xml:space="preserve">Credit </t>
  </si>
  <si>
    <t>Labor</t>
  </si>
  <si>
    <t>Added tile to Beer Wall, eliminated Shou-Sugi Ban</t>
  </si>
  <si>
    <t>SSB Labor</t>
  </si>
  <si>
    <t>Credit</t>
  </si>
  <si>
    <t>Install Tile Labor</t>
  </si>
  <si>
    <t>Install Tile Backer</t>
  </si>
  <si>
    <t>Superior</t>
  </si>
  <si>
    <t>Added tile under unisex sinks</t>
  </si>
  <si>
    <t>Added Wallpaper for nooks</t>
  </si>
  <si>
    <t>Install Wallpaper</t>
  </si>
  <si>
    <t>Vertex Painting</t>
  </si>
  <si>
    <t>Total</t>
  </si>
  <si>
    <t>If no wallpaper is installed on ceilings</t>
  </si>
  <si>
    <t xml:space="preserve">or </t>
  </si>
  <si>
    <t xml:space="preserve">If wallpaper is installed on ceilings </t>
  </si>
  <si>
    <t>Owner's Walk Changes 11.12.25</t>
  </si>
  <si>
    <t>3 Exterior Gooseneck Lights</t>
  </si>
  <si>
    <t>DEEM</t>
  </si>
  <si>
    <t xml:space="preserve">Install 30" door at beer wall  </t>
  </si>
  <si>
    <t>Remove 3 access panels at beer wall</t>
  </si>
  <si>
    <t>Remove ACT Ceilings in Walk in Cooler area</t>
  </si>
  <si>
    <t>Add Bulkhead at Walk in Cooler are</t>
  </si>
  <si>
    <t>Added concrete (demo curb) at main entrance</t>
  </si>
  <si>
    <t>Merritt</t>
  </si>
  <si>
    <t>Add Beer Wall on 2nd level</t>
  </si>
  <si>
    <t>TBD</t>
  </si>
  <si>
    <t>Added metal post and chain for converted coffee bar to Bourbon Bar</t>
  </si>
  <si>
    <t>Reduce TV's at 2nd floor bar from 10 to 5 Tvs</t>
  </si>
  <si>
    <t>Routed channgels in bartops for drink rail</t>
  </si>
  <si>
    <t>Add?</t>
  </si>
  <si>
    <t>Main Level</t>
  </si>
  <si>
    <t>Second Level</t>
  </si>
  <si>
    <r>
      <rPr>
        <b/>
        <sz val="16"/>
        <color theme="1"/>
        <rFont val="Aptos Narrow"/>
        <family val="2"/>
        <scheme val="minor"/>
      </rPr>
      <t>Casework</t>
    </r>
    <r>
      <rPr>
        <sz val="16"/>
        <color theme="1"/>
        <rFont val="Aptos Narrow"/>
        <family val="2"/>
        <scheme val="minor"/>
      </rPr>
      <t xml:space="preserve"> Schedule - Main Level</t>
    </r>
  </si>
  <si>
    <r>
      <rPr>
        <b/>
        <sz val="16"/>
        <color theme="1"/>
        <rFont val="Aptos Narrow"/>
        <family val="2"/>
        <scheme val="minor"/>
      </rPr>
      <t>Casework Schedule</t>
    </r>
    <r>
      <rPr>
        <sz val="16"/>
        <color theme="1"/>
        <rFont val="Aptos Narrow"/>
        <family val="2"/>
        <scheme val="minor"/>
      </rPr>
      <t xml:space="preserve"> - Second Level</t>
    </r>
  </si>
  <si>
    <t>Label</t>
  </si>
  <si>
    <t>Description</t>
  </si>
  <si>
    <t>Location</t>
  </si>
  <si>
    <t>Provided By</t>
  </si>
  <si>
    <t>Provided by</t>
  </si>
  <si>
    <t>C-01</t>
  </si>
  <si>
    <t>L-Shaped Banquette</t>
  </si>
  <si>
    <t>DNG 123</t>
  </si>
  <si>
    <t>Alleato</t>
  </si>
  <si>
    <t>C-03</t>
  </si>
  <si>
    <t>Linear Banquette</t>
  </si>
  <si>
    <t>STG 200 + 202</t>
  </si>
  <si>
    <t>C-02</t>
  </si>
  <si>
    <t>DNG 118</t>
  </si>
  <si>
    <t>C-04</t>
  </si>
  <si>
    <t>Booths</t>
  </si>
  <si>
    <t>STG 201 +203</t>
  </si>
  <si>
    <t>C-06</t>
  </si>
  <si>
    <t>Trash &amp; Coke Machine</t>
  </si>
  <si>
    <t>Along Stairs</t>
  </si>
  <si>
    <t>C-05</t>
  </si>
  <si>
    <t>Nook Booths</t>
  </si>
  <si>
    <t>Nooks</t>
  </si>
  <si>
    <t>C-06.A</t>
  </si>
  <si>
    <t>Trash &amp; Coke Machine Mirrored</t>
  </si>
  <si>
    <t>STG 203</t>
  </si>
  <si>
    <t>C-07</t>
  </si>
  <si>
    <t>Small Trash Receptacle</t>
  </si>
  <si>
    <t>STG 201 &amp; 203</t>
  </si>
  <si>
    <t>C-09</t>
  </si>
  <si>
    <t>Host Stand - Customer Side</t>
  </si>
  <si>
    <t>Lobby</t>
  </si>
  <si>
    <t>C-08</t>
  </si>
  <si>
    <t>Large Trash Receptacle</t>
  </si>
  <si>
    <t>STG 201</t>
  </si>
  <si>
    <t>C-09.A</t>
  </si>
  <si>
    <t>Host Stand - Staff Side</t>
  </si>
  <si>
    <t>C-10</t>
  </si>
  <si>
    <t>Beer Wall Low Cabinets</t>
  </si>
  <si>
    <t>Beer Wall</t>
  </si>
  <si>
    <r>
      <rPr>
        <b/>
        <sz val="16"/>
        <color theme="1"/>
        <rFont val="Aptos Narrow"/>
        <family val="2"/>
        <scheme val="minor"/>
      </rPr>
      <t>Metal Work Schedule</t>
    </r>
    <r>
      <rPr>
        <sz val="16"/>
        <color theme="1"/>
        <rFont val="Aptos Narrow"/>
        <family val="2"/>
        <scheme val="minor"/>
      </rPr>
      <t xml:space="preserve"> - Second Level</t>
    </r>
  </si>
  <si>
    <t>C-11</t>
  </si>
  <si>
    <t>Beer Wall Shallow Tall Cabinet</t>
  </si>
  <si>
    <t>M-02</t>
  </si>
  <si>
    <t>Picnic Table (Bench Separate)</t>
  </si>
  <si>
    <t>Covered Patio</t>
  </si>
  <si>
    <t>Mike</t>
  </si>
  <si>
    <r>
      <rPr>
        <b/>
        <sz val="16"/>
        <color theme="1"/>
        <rFont val="Aptos Narrow"/>
        <family val="2"/>
        <scheme val="minor"/>
      </rPr>
      <t xml:space="preserve">Metalwork </t>
    </r>
    <r>
      <rPr>
        <sz val="16"/>
        <color theme="1"/>
        <rFont val="Aptos Narrow"/>
        <family val="2"/>
        <scheme val="minor"/>
      </rPr>
      <t xml:space="preserve">Schedule - Main Level </t>
    </r>
  </si>
  <si>
    <t>M-02.A</t>
  </si>
  <si>
    <t>Picnic Bench</t>
  </si>
  <si>
    <t xml:space="preserve">Label </t>
  </si>
  <si>
    <t xml:space="preserve">Description </t>
  </si>
  <si>
    <t>M-03</t>
  </si>
  <si>
    <t>Hightop Base - 6 top</t>
  </si>
  <si>
    <t>Seating 200 &amp; Patio</t>
  </si>
  <si>
    <t>M-01</t>
  </si>
  <si>
    <t>Picnic Table</t>
  </si>
  <si>
    <t>M-03.A</t>
  </si>
  <si>
    <t>Indoor Tabletop - 6 top</t>
  </si>
  <si>
    <t>Seating 200</t>
  </si>
  <si>
    <t>M-04</t>
  </si>
  <si>
    <t>Hightop Base - 8 Top</t>
  </si>
  <si>
    <t>Dinning 123</t>
  </si>
  <si>
    <t>M-03.B</t>
  </si>
  <si>
    <t>Outdoor Tabletop - 6 top</t>
  </si>
  <si>
    <t>M-04.A</t>
  </si>
  <si>
    <t>Indoor Tabletop - 8 Top</t>
  </si>
  <si>
    <t>Hightop Base - 8 top</t>
  </si>
  <si>
    <t>Seating 201 &amp; Patio</t>
  </si>
  <si>
    <t>M-05</t>
  </si>
  <si>
    <t>Hightop Table W/Base - 10 Top</t>
  </si>
  <si>
    <t>Bar 103</t>
  </si>
  <si>
    <t>Seating 201</t>
  </si>
  <si>
    <t>M-08</t>
  </si>
  <si>
    <t>Drink Rail</t>
  </si>
  <si>
    <t>Dinning 118</t>
  </si>
  <si>
    <t xml:space="preserve">Alleato </t>
  </si>
  <si>
    <t>M-04.B</t>
  </si>
  <si>
    <t>Outdoor Tabletop - 8 Top</t>
  </si>
  <si>
    <t>M-10</t>
  </si>
  <si>
    <t>Alcohol Rail Bar 103 South</t>
  </si>
  <si>
    <t>M-04.C</t>
  </si>
  <si>
    <t>Indoor Light Mount - 8 Top</t>
  </si>
  <si>
    <t>M-11</t>
  </si>
  <si>
    <t>Alcohol Rail Bar 103 North</t>
  </si>
  <si>
    <t>Hightop Table/ Base -10 Top</t>
  </si>
  <si>
    <t>Seating 202</t>
  </si>
  <si>
    <t xml:space="preserve">M-12 </t>
  </si>
  <si>
    <t>Alcohol Rail Bar 103 East</t>
  </si>
  <si>
    <t>M-06</t>
  </si>
  <si>
    <t>Hightop Table/Base - 5 Top</t>
  </si>
  <si>
    <t>M-13</t>
  </si>
  <si>
    <t>Alcohol Rail Outside Bar</t>
  </si>
  <si>
    <t>M-07</t>
  </si>
  <si>
    <t>Mezzanine Drink Rail</t>
  </si>
  <si>
    <t>M-14</t>
  </si>
  <si>
    <t>Alcohol Rail Bar Beer Wall</t>
  </si>
  <si>
    <t>M-09</t>
  </si>
  <si>
    <t>Acohol Rail Bar 201 South</t>
  </si>
  <si>
    <t>Bar 201</t>
  </si>
  <si>
    <t>M-15</t>
  </si>
  <si>
    <t>TV Mount - Bar 103</t>
  </si>
  <si>
    <t>Alcohol Rail Bar Outside</t>
  </si>
  <si>
    <t>Bar 201 Covered Patio</t>
  </si>
  <si>
    <t>M-16</t>
  </si>
  <si>
    <t>TV Mount - Bar 201</t>
  </si>
  <si>
    <r>
      <rPr>
        <b/>
        <sz val="16"/>
        <color theme="1"/>
        <rFont val="Aptos Narrow"/>
        <family val="2"/>
        <scheme val="minor"/>
      </rPr>
      <t>Furniture</t>
    </r>
    <r>
      <rPr>
        <sz val="16"/>
        <color theme="1"/>
        <rFont val="Aptos Narrow"/>
        <family val="2"/>
        <scheme val="minor"/>
      </rPr>
      <t xml:space="preserve"> Schedule - Main Level</t>
    </r>
  </si>
  <si>
    <r>
      <rPr>
        <b/>
        <sz val="16"/>
        <color theme="1"/>
        <rFont val="Aptos Narrow"/>
        <family val="2"/>
        <scheme val="minor"/>
      </rPr>
      <t>Furniture Schedule</t>
    </r>
    <r>
      <rPr>
        <sz val="16"/>
        <color theme="1"/>
        <rFont val="Aptos Narrow"/>
        <family val="2"/>
        <scheme val="minor"/>
      </rPr>
      <t xml:space="preserve"> - Second Level</t>
    </r>
  </si>
  <si>
    <t>F-01</t>
  </si>
  <si>
    <t>Table Top 30 X 30</t>
  </si>
  <si>
    <t>All, Interior</t>
  </si>
  <si>
    <t>F-01.A</t>
  </si>
  <si>
    <t>Table Base 30 X 30</t>
  </si>
  <si>
    <t>Table Top 30 x 30</t>
  </si>
  <si>
    <t>F-02</t>
  </si>
  <si>
    <t>Table Top 36R</t>
  </si>
  <si>
    <t>Tabel Base 30 X 30</t>
  </si>
  <si>
    <t>F-02.A</t>
  </si>
  <si>
    <t>Table Base 36R STD Height</t>
  </si>
  <si>
    <t>F-03</t>
  </si>
  <si>
    <t>Table Top 54 x 30</t>
  </si>
  <si>
    <t>F-02.B</t>
  </si>
  <si>
    <t>Table Base 36R Bar Height</t>
  </si>
  <si>
    <t>F-03.A</t>
  </si>
  <si>
    <t>Table Base 54 x 30</t>
  </si>
  <si>
    <t>F-07</t>
  </si>
  <si>
    <t>Chair</t>
  </si>
  <si>
    <t>F-04</t>
  </si>
  <si>
    <t>F-08</t>
  </si>
  <si>
    <t>Bar Stool</t>
  </si>
  <si>
    <t>F-05</t>
  </si>
  <si>
    <t>Table Top 72 x 30</t>
  </si>
  <si>
    <t>F-17</t>
  </si>
  <si>
    <t>Outdoor Table Top 30 X 30</t>
  </si>
  <si>
    <t>F-06</t>
  </si>
  <si>
    <t>Table Top 84 x 36</t>
  </si>
  <si>
    <t>F-17.A</t>
  </si>
  <si>
    <t>Outdoor Table Base 30 X 30</t>
  </si>
  <si>
    <t>Table Base 72 x 30 &amp; 84 x 36</t>
  </si>
  <si>
    <t>F-19</t>
  </si>
  <si>
    <t>Outdoor Chair</t>
  </si>
  <si>
    <t>F-20</t>
  </si>
  <si>
    <t>Outdoor Bar Stool</t>
  </si>
  <si>
    <t>F-09</t>
  </si>
  <si>
    <t>F-21</t>
  </si>
  <si>
    <t>Outdoor Sofa</t>
  </si>
  <si>
    <t>F-10</t>
  </si>
  <si>
    <t>Sofa Large</t>
  </si>
  <si>
    <t>Seating 201 &amp; Nooks</t>
  </si>
  <si>
    <t>F-24</t>
  </si>
  <si>
    <t>Outdoor Adirondack Chairs</t>
  </si>
  <si>
    <t>Outside, Not shown on plan</t>
  </si>
  <si>
    <t>F-11</t>
  </si>
  <si>
    <t>Sofa Medium</t>
  </si>
  <si>
    <t>Seating 200 &amp; 201</t>
  </si>
  <si>
    <t>Outdoor Coffe Table SQ</t>
  </si>
  <si>
    <t>F-12</t>
  </si>
  <si>
    <t>Side Chair</t>
  </si>
  <si>
    <t>Center Nook</t>
  </si>
  <si>
    <t>F-26</t>
  </si>
  <si>
    <t>Outdoor Planter RECT</t>
  </si>
  <si>
    <t>F-13</t>
  </si>
  <si>
    <t>Coffee Table 48 x 24</t>
  </si>
  <si>
    <t>F-27</t>
  </si>
  <si>
    <t>Outdoor Planter Round</t>
  </si>
  <si>
    <t>F-14</t>
  </si>
  <si>
    <t>Coffee Table 48 x 18</t>
  </si>
  <si>
    <t>F-28</t>
  </si>
  <si>
    <t>Outdoor Trash Cans</t>
  </si>
  <si>
    <t>F-15</t>
  </si>
  <si>
    <t>Coffee Table 30 x 30</t>
  </si>
  <si>
    <t>F-16</t>
  </si>
  <si>
    <t>POUF</t>
  </si>
  <si>
    <t>MIke</t>
  </si>
  <si>
    <r>
      <rPr>
        <b/>
        <sz val="16"/>
        <color theme="1"/>
        <rFont val="Aptos Narrow"/>
        <family val="2"/>
        <scheme val="minor"/>
      </rPr>
      <t>Accessories</t>
    </r>
    <r>
      <rPr>
        <sz val="16"/>
        <color theme="1"/>
        <rFont val="Aptos Narrow"/>
        <family val="2"/>
        <scheme val="minor"/>
      </rPr>
      <t xml:space="preserve"> Schedule - Main Level</t>
    </r>
  </si>
  <si>
    <t>Console Table</t>
  </si>
  <si>
    <t>Outdoor Table Top 30 x 30</t>
  </si>
  <si>
    <t>Restroom Vanity Mirrior</t>
  </si>
  <si>
    <t>Womens RR</t>
  </si>
  <si>
    <t>Outdoor Table Base 30 x 30</t>
  </si>
  <si>
    <t xml:space="preserve">Restroom Vanity Mirror </t>
  </si>
  <si>
    <t>Men's RR + Common Sink</t>
  </si>
  <si>
    <t>Outdoor SOFA</t>
  </si>
  <si>
    <t>F-22</t>
  </si>
  <si>
    <t>Outdoor Side Chair</t>
  </si>
  <si>
    <t>F-25</t>
  </si>
  <si>
    <t>Outdoor Coffee Table 48 x 24</t>
  </si>
  <si>
    <t>Outdoor Planters 60 x 30</t>
  </si>
  <si>
    <t>F-29</t>
  </si>
  <si>
    <t>Folding Table - 48R</t>
  </si>
  <si>
    <t>Private Rooms</t>
  </si>
  <si>
    <r>
      <rPr>
        <b/>
        <sz val="16"/>
        <color theme="1"/>
        <rFont val="Aptos Narrow"/>
        <family val="2"/>
        <scheme val="minor"/>
      </rPr>
      <t>Accessories Schedule</t>
    </r>
    <r>
      <rPr>
        <sz val="16"/>
        <color theme="1"/>
        <rFont val="Aptos Narrow"/>
        <family val="2"/>
        <scheme val="minor"/>
      </rPr>
      <t xml:space="preserve"> - Second Level</t>
    </r>
  </si>
  <si>
    <t>Restroom Vanity Mirror</t>
  </si>
  <si>
    <t>AR-01</t>
  </si>
  <si>
    <t>Rug 1 Oriental, RED</t>
  </si>
  <si>
    <t>AR-02</t>
  </si>
  <si>
    <t>Rug 2 Oriental, Blue</t>
  </si>
  <si>
    <t>AR-03</t>
  </si>
  <si>
    <t>Rug 3 Oriental, Grey</t>
  </si>
  <si>
    <t>AR-04</t>
  </si>
  <si>
    <t>Rug 4 Oriental, Brown</t>
  </si>
  <si>
    <t>AR-05</t>
  </si>
  <si>
    <t>Rug 5 Oriental, B&amp;W</t>
  </si>
  <si>
    <t>AR-06</t>
  </si>
  <si>
    <t>Rug 6 Oriental, Grey</t>
  </si>
  <si>
    <t xml:space="preserve">Westfield Collective Utility Accounts </t>
  </si>
  <si>
    <t>Service/ Provider</t>
  </si>
  <si>
    <t>Contact Name</t>
  </si>
  <si>
    <t>Contact #</t>
  </si>
  <si>
    <t>Entity Name(S)</t>
  </si>
  <si>
    <t>Status</t>
  </si>
  <si>
    <t>Attachments</t>
  </si>
  <si>
    <t>CenterPoint (Gas)</t>
  </si>
  <si>
    <t>1-800-990-1930</t>
  </si>
  <si>
    <t>Off</t>
  </si>
  <si>
    <t>CenterPoint will be onsite 11/13/2025 to turn gas on</t>
  </si>
  <si>
    <t xml:space="preserve">  </t>
  </si>
  <si>
    <t>Duke (Electric)</t>
  </si>
  <si>
    <t xml:space="preserve">Transformer is on backorder. Anticipate install mid December. </t>
  </si>
  <si>
    <t>Citizens (Water/Sewer)</t>
  </si>
  <si>
    <t>317-924-3341</t>
  </si>
  <si>
    <t>317-927-4444, AC to call 10/13/2025</t>
  </si>
  <si>
    <t>Review with Brandon or Chad</t>
  </si>
  <si>
    <t>Review with Jesse Dawson</t>
  </si>
  <si>
    <t>Change Order Tracker</t>
  </si>
  <si>
    <t>CR #</t>
  </si>
  <si>
    <t>CCO #</t>
  </si>
  <si>
    <t>Company Name</t>
  </si>
  <si>
    <t>Amount</t>
  </si>
  <si>
    <t>Sent to Sub Date</t>
  </si>
  <si>
    <t>Sent?</t>
  </si>
  <si>
    <t>Exeucted ?</t>
  </si>
  <si>
    <t>CCO-0063</t>
  </si>
  <si>
    <t>Mkt Ready</t>
  </si>
  <si>
    <t>CCO-0059</t>
  </si>
  <si>
    <t>CCO-0062</t>
  </si>
  <si>
    <t>CCO-0066</t>
  </si>
  <si>
    <t>S&amp;M Paint</t>
  </si>
  <si>
    <t>Adamn sent back 10/29</t>
  </si>
  <si>
    <t>CR-0060</t>
  </si>
  <si>
    <t>LeMaster</t>
  </si>
  <si>
    <t>-</t>
  </si>
  <si>
    <t>Andrew to send out LeMaster tickets to associated sub PMs for their review.</t>
  </si>
  <si>
    <t>CCO-0050</t>
  </si>
  <si>
    <t>CIH</t>
  </si>
  <si>
    <t>Andrew to review CIH shop drawings prior to ordering</t>
  </si>
  <si>
    <t>CCO-0069</t>
  </si>
  <si>
    <t>Nick sent back signed 10/29/2025</t>
  </si>
  <si>
    <t>CCO-0067</t>
  </si>
  <si>
    <t>Marble Uniques</t>
  </si>
  <si>
    <t>Change order is included in their contract amount</t>
  </si>
  <si>
    <t>CCO-0058</t>
  </si>
  <si>
    <t>True Step</t>
  </si>
  <si>
    <t>CCO-0057</t>
  </si>
  <si>
    <t>Waiting for Mike to confirm Metalwork Markup (Sent 10/27)</t>
  </si>
  <si>
    <t>CCO-0056</t>
  </si>
  <si>
    <t>CCO-0055</t>
  </si>
  <si>
    <t>JTB Masonry</t>
  </si>
  <si>
    <t>CCO-0054</t>
  </si>
  <si>
    <t>CCO-0053</t>
  </si>
  <si>
    <t>United Excavating</t>
  </si>
  <si>
    <t>Ryan sent back signed on 10/29/2025</t>
  </si>
  <si>
    <t>CCO-0064</t>
  </si>
  <si>
    <t>CCO-0051</t>
  </si>
  <si>
    <t xml:space="preserve">South A/D Lane Undercut. </t>
  </si>
  <si>
    <t>CR-40</t>
  </si>
  <si>
    <t>CCO-0049</t>
  </si>
  <si>
    <t>Grey Rock</t>
  </si>
  <si>
    <t>Glenn already sent</t>
  </si>
  <si>
    <t>This was a CO for the added VB bathrooms. Glenn signed it, but Grey Rock has not. Glenn was trying to get sealer and traction additive in the entire building. Contract accounts for that. Need deductive CO written. Just need Jason to sign and return?</t>
  </si>
  <si>
    <t>CR-38</t>
  </si>
  <si>
    <t>CCO-0030</t>
  </si>
  <si>
    <t>Which price do I used?</t>
  </si>
  <si>
    <t>CR-36</t>
  </si>
  <si>
    <t>CCO-0021</t>
  </si>
  <si>
    <t>CR-66</t>
  </si>
  <si>
    <t>CCO-0028</t>
  </si>
  <si>
    <t>C&amp;S</t>
  </si>
  <si>
    <t>CR-65</t>
  </si>
  <si>
    <t>CCO-70</t>
  </si>
  <si>
    <t>dispute labor and finisher rates… 70 &amp; 80 an hour.</t>
  </si>
  <si>
    <t>CR-34</t>
  </si>
  <si>
    <t>CCO-0025</t>
  </si>
  <si>
    <t>CR-64</t>
  </si>
  <si>
    <t>CCO-0065</t>
  </si>
  <si>
    <t>CR-68</t>
  </si>
  <si>
    <t>CCO-0073</t>
  </si>
  <si>
    <t>Sent follow up email 11/11/2025</t>
  </si>
  <si>
    <t>CCO-0074</t>
  </si>
  <si>
    <t>DKM (CIH)</t>
  </si>
  <si>
    <t>CR-26</t>
  </si>
  <si>
    <t>CCO-044</t>
  </si>
  <si>
    <t xml:space="preserve">LeMaster requested Andrew C to email CO-044 so both parties could sign. LeMaster had already receiveced payment but did not have a executed copy. </t>
  </si>
  <si>
    <t>Budget Modifications</t>
  </si>
  <si>
    <t>Cost Code</t>
  </si>
  <si>
    <t>Cost Code Name</t>
  </si>
  <si>
    <t>Contract Change Order</t>
  </si>
  <si>
    <t>Projected Over/Under</t>
  </si>
  <si>
    <t>Money Moved From</t>
  </si>
  <si>
    <t>Central HVAC Equipment</t>
  </si>
  <si>
    <t>Unallocated Costs</t>
  </si>
  <si>
    <t>AC pushed to ERP on 11/03/2025 &amp; added Executed CO</t>
  </si>
  <si>
    <t>Excavation</t>
  </si>
  <si>
    <t xml:space="preserve">Ryan (United PM) will send back signed CO 11/3. </t>
  </si>
  <si>
    <t>Unallocated Cost</t>
  </si>
  <si>
    <t>N/A</t>
  </si>
  <si>
    <t>AJ found, should not have been pulled from Unallocated costs. Is this an error? Is Alleato supposed to be covering?</t>
  </si>
  <si>
    <t>Project</t>
  </si>
  <si>
    <t>Westfield Collective</t>
  </si>
  <si>
    <t>Address</t>
  </si>
  <si>
    <t>750 E 181st ST Westfield, IN 46074</t>
  </si>
  <si>
    <t>Material/Procurement Log:</t>
  </si>
  <si>
    <t>Material</t>
  </si>
  <si>
    <t>Submittal</t>
  </si>
  <si>
    <t>Supplier / Manufacturer</t>
  </si>
  <si>
    <t>Responsibility</t>
  </si>
  <si>
    <t>Contact Number</t>
  </si>
  <si>
    <t>Contact Email</t>
  </si>
  <si>
    <t>Quantity</t>
  </si>
  <si>
    <t>Lead Time</t>
  </si>
  <si>
    <t>Date Needed on Site</t>
  </si>
  <si>
    <t>Date Submitted</t>
  </si>
  <si>
    <t>Date Approved</t>
  </si>
  <si>
    <t>Date Ordered</t>
  </si>
  <si>
    <t>Est. Delivery Date</t>
  </si>
  <si>
    <t>Actual Delivery Date</t>
  </si>
  <si>
    <t>Comments</t>
  </si>
  <si>
    <t>LeMaster Steel</t>
  </si>
  <si>
    <t>Anchor Rods</t>
  </si>
  <si>
    <t>05-1</t>
  </si>
  <si>
    <t>Chad</t>
  </si>
  <si>
    <t>Nick Bigler</t>
  </si>
  <si>
    <t>(317) 495-5303</t>
  </si>
  <si>
    <t>nbigler@lemastersteel.com</t>
  </si>
  <si>
    <t>All</t>
  </si>
  <si>
    <t>5 Days</t>
  </si>
  <si>
    <t>Structural Steel</t>
  </si>
  <si>
    <t>05-2</t>
  </si>
  <si>
    <t>Glenn</t>
  </si>
  <si>
    <t>60 Days</t>
  </si>
  <si>
    <t>FG Schaefer Co</t>
  </si>
  <si>
    <t>Commissary Equipment</t>
  </si>
  <si>
    <t>11-02</t>
  </si>
  <si>
    <t>Daniel Stewart</t>
  </si>
  <si>
    <t>(513) 254-4525</t>
  </si>
  <si>
    <t>dstewart@fgschaefer.com</t>
  </si>
  <si>
    <t>Sent Email 05/28/2025</t>
  </si>
  <si>
    <t>Waiting for update from Daniel</t>
  </si>
  <si>
    <t>Bar Equipment</t>
  </si>
  <si>
    <t>11-03</t>
  </si>
  <si>
    <t>Ice Cream Bar Equipment</t>
  </si>
  <si>
    <t>11-04</t>
  </si>
  <si>
    <t>Wine Bar Equipment</t>
  </si>
  <si>
    <t>11-05</t>
  </si>
  <si>
    <t>Roberto and Miguels</t>
  </si>
  <si>
    <t>11-06</t>
  </si>
  <si>
    <t>Lei Lie's</t>
  </si>
  <si>
    <t>11-07</t>
  </si>
  <si>
    <t>Bristols</t>
  </si>
  <si>
    <t>11-08</t>
  </si>
  <si>
    <t>Stir</t>
  </si>
  <si>
    <t>11-09</t>
  </si>
  <si>
    <t>Zaria</t>
  </si>
  <si>
    <t>11-10</t>
  </si>
  <si>
    <t xml:space="preserve">WIC Condenser </t>
  </si>
  <si>
    <t>11-01</t>
  </si>
  <si>
    <t>(5153) 254-4525</t>
  </si>
  <si>
    <t>Hoods/Exhaust Fans (kitchen)</t>
  </si>
  <si>
    <t>Captive Aire/ FG Schaefer</t>
  </si>
  <si>
    <t>Volleyball Space Heaters</t>
  </si>
  <si>
    <t>23-1</t>
  </si>
  <si>
    <t>Jeff Christof</t>
  </si>
  <si>
    <t>jrchristoff@yahoo.com</t>
  </si>
  <si>
    <t>installed</t>
  </si>
  <si>
    <t>RTU's</t>
  </si>
  <si>
    <t>23-2</t>
  </si>
  <si>
    <t>FITE</t>
  </si>
  <si>
    <t>Erika Fraits</t>
  </si>
  <si>
    <t>(317) 610-6371</t>
  </si>
  <si>
    <t>erikaf@fitellc.com</t>
  </si>
  <si>
    <t>onsite</t>
  </si>
  <si>
    <t>Will be delivered either last week of July or first week of August</t>
  </si>
  <si>
    <t>Air Curtains</t>
  </si>
  <si>
    <t>23-6</t>
  </si>
  <si>
    <t>Waiting for update from Jeff</t>
  </si>
  <si>
    <t>BAF's</t>
  </si>
  <si>
    <t>26-3</t>
  </si>
  <si>
    <t>Mini Splits  (Volleyball Bathroom)</t>
  </si>
  <si>
    <t>Heaters</t>
  </si>
  <si>
    <t>Mechanical Screen</t>
  </si>
  <si>
    <t xml:space="preserve">Andrew </t>
  </si>
  <si>
    <t>4 (units)</t>
  </si>
  <si>
    <t>6 weeks</t>
  </si>
  <si>
    <t>TBD (as of 10/20/2025)</t>
  </si>
  <si>
    <t>Jeff is waiting for units to be installed prior to ordering.</t>
  </si>
  <si>
    <t>Site Lightings/ Exterior lighting</t>
  </si>
  <si>
    <t>26-1</t>
  </si>
  <si>
    <t>Brennan Rhoades</t>
  </si>
  <si>
    <t>brhoades@deemfirst.com</t>
  </si>
  <si>
    <t>In stock</t>
  </si>
  <si>
    <t>2nd Floor Interior Lighting</t>
  </si>
  <si>
    <t>26-2</t>
  </si>
  <si>
    <t>1st Floor Interior Lighting</t>
  </si>
  <si>
    <t>(765) 748-0973</t>
  </si>
  <si>
    <t xml:space="preserve">Transformer </t>
  </si>
  <si>
    <t>Sent Email 10/6/2025</t>
  </si>
  <si>
    <t>Robert &amp; Alex with DEEM are to provide an update</t>
  </si>
  <si>
    <t>Big A$$ Fans</t>
  </si>
  <si>
    <t>Waiting on Glenn</t>
  </si>
  <si>
    <t>Waiting on Glen</t>
  </si>
  <si>
    <t>Tbd</t>
  </si>
  <si>
    <t>Justin Dorsey</t>
  </si>
  <si>
    <t>2nd Floor Plumbing Fixtures and Fittings</t>
  </si>
  <si>
    <t>22-1</t>
  </si>
  <si>
    <t>Tom Tinkle</t>
  </si>
  <si>
    <t>(317) 751-2590</t>
  </si>
  <si>
    <t>Tom@justindorseyplumbing.com</t>
  </si>
  <si>
    <t>3 days (Stock Items)</t>
  </si>
  <si>
    <t>1st Floor Plumbing and Fittings</t>
  </si>
  <si>
    <t>Glass</t>
  </si>
  <si>
    <t>08-1</t>
  </si>
  <si>
    <t>David Driscoll</t>
  </si>
  <si>
    <t>317-951-4700</t>
  </si>
  <si>
    <t>driscoll@diamondglassworks.net</t>
  </si>
  <si>
    <t>not complete</t>
  </si>
  <si>
    <t>will have to order new glass due to field differences</t>
  </si>
  <si>
    <t>Storefront</t>
  </si>
  <si>
    <t>08-2</t>
  </si>
  <si>
    <t>Arrived at Diamond Glasses shop</t>
  </si>
  <si>
    <t>Executive Elevator</t>
  </si>
  <si>
    <t>Elevator Equip</t>
  </si>
  <si>
    <t>JW Moore</t>
  </si>
  <si>
    <t>(317) 696-0471</t>
  </si>
  <si>
    <t>jwm@exelevator.com</t>
  </si>
  <si>
    <t>14 (weeks)</t>
  </si>
  <si>
    <t>Week of 10/6-10/10</t>
  </si>
  <si>
    <t xml:space="preserve">Arrived at Executive Elevators shop </t>
  </si>
  <si>
    <t>Merritt Contracting</t>
  </si>
  <si>
    <t>Bollards</t>
  </si>
  <si>
    <t>05-7</t>
  </si>
  <si>
    <t>Alleato Group</t>
  </si>
  <si>
    <t>Chad Tragesser</t>
  </si>
  <si>
    <t>765-480-0703</t>
  </si>
  <si>
    <t>ctragesser@alleatogroup.com</t>
  </si>
  <si>
    <t>Interior Stairs</t>
  </si>
  <si>
    <t>05-4</t>
  </si>
  <si>
    <t>Tim Sutter</t>
  </si>
  <si>
    <t>(513) 600-7392</t>
  </si>
  <si>
    <t>tims@truestepllc.com</t>
  </si>
  <si>
    <t xml:space="preserve">Exterior Stairs </t>
  </si>
  <si>
    <t>Railing</t>
  </si>
  <si>
    <t>Awning Partners</t>
  </si>
  <si>
    <t>Metal Awning</t>
  </si>
  <si>
    <t>05-6</t>
  </si>
  <si>
    <t>Kyle Shelton</t>
  </si>
  <si>
    <t>(317) 614-0584</t>
  </si>
  <si>
    <t>kyle@awningpartners.com</t>
  </si>
  <si>
    <t>Follow up on 7/1/2025 that awnings are in Fab.</t>
  </si>
  <si>
    <t>Professional Garage Door Systems, Inc.</t>
  </si>
  <si>
    <t>OH Doors</t>
  </si>
  <si>
    <t>08-3</t>
  </si>
  <si>
    <t>David Biddle</t>
  </si>
  <si>
    <t>Dbiddle@ProDoorSystems.com</t>
  </si>
  <si>
    <t>5-6 weeks</t>
  </si>
  <si>
    <t>07/10, released but not ordered yet. Need door submittal (Glenn notified on 07/10)</t>
  </si>
  <si>
    <t>Counter Shutters</t>
  </si>
  <si>
    <t>(317) 839-3050</t>
  </si>
  <si>
    <t>North Indy Fence Deck &amp; Rail</t>
  </si>
  <si>
    <t>Enclosure Gates</t>
  </si>
  <si>
    <t>05-09</t>
  </si>
  <si>
    <t>Bob Ray</t>
  </si>
  <si>
    <t>(317) 848-8814</t>
  </si>
  <si>
    <t>bob@northindyfence.com</t>
  </si>
  <si>
    <t>1 week</t>
  </si>
  <si>
    <t>Spoke to Bob Ray on 10/08/2025</t>
  </si>
  <si>
    <t>Gate Posts</t>
  </si>
  <si>
    <t>in stock</t>
  </si>
  <si>
    <t>Damn Good Interiors</t>
  </si>
  <si>
    <t>2nd Floor Furniture/ Seating</t>
  </si>
  <si>
    <t>12-6</t>
  </si>
  <si>
    <t>1st Floor Furniture/Seating</t>
  </si>
  <si>
    <t>2nd Floor Exterior Patio Furniture/ Seating</t>
  </si>
  <si>
    <t>12-7</t>
  </si>
  <si>
    <t>1st Floor Exterior Patio Furniture/ Seating</t>
  </si>
  <si>
    <t>Exterior Doors</t>
  </si>
  <si>
    <t>08-04</t>
  </si>
  <si>
    <t>Vivian Husband</t>
  </si>
  <si>
    <t>317-498-2593</t>
  </si>
  <si>
    <t>husbandv@cih-inc.com</t>
  </si>
  <si>
    <t>7 weeks</t>
  </si>
  <si>
    <t>Will have delivery date by 10/10</t>
  </si>
  <si>
    <t>Exterior Frames</t>
  </si>
  <si>
    <t>12 weeks</t>
  </si>
  <si>
    <t>In Stock</t>
  </si>
  <si>
    <t>Exterior Door Hardware</t>
  </si>
  <si>
    <t>10 weeks</t>
  </si>
  <si>
    <t>Interior Frames</t>
  </si>
  <si>
    <t>Interior Doors &amp; Hardware</t>
  </si>
  <si>
    <t>Div-10</t>
  </si>
  <si>
    <t>10-1</t>
  </si>
  <si>
    <t>Mandi Boyer</t>
  </si>
  <si>
    <t>(317) 914-7323</t>
  </si>
  <si>
    <t>boyera@cih-inc.com</t>
  </si>
  <si>
    <t>Bathroom Partitions</t>
  </si>
  <si>
    <t>4 weeks</t>
  </si>
  <si>
    <t xml:space="preserve">Studs </t>
  </si>
  <si>
    <t>09-1</t>
  </si>
  <si>
    <t>Brian Jones</t>
  </si>
  <si>
    <t>(317) 354-0460</t>
  </si>
  <si>
    <t>BrianJ@indysuperior.com</t>
  </si>
  <si>
    <t>On Site</t>
  </si>
  <si>
    <t>Drywall</t>
  </si>
  <si>
    <t>09-4</t>
  </si>
  <si>
    <t>andrew will confirm with Aaron on 10/8</t>
  </si>
  <si>
    <t>1st &amp; 2nd Floor ACT Tile</t>
  </si>
  <si>
    <t>09-3</t>
  </si>
  <si>
    <t>VB ACT Tile</t>
  </si>
  <si>
    <t>Brain Jones</t>
  </si>
  <si>
    <t>Unknown</t>
  </si>
  <si>
    <t>Unkown</t>
  </si>
  <si>
    <t>08-6</t>
  </si>
  <si>
    <t>Bathroom Tile</t>
  </si>
  <si>
    <t>09-7</t>
  </si>
  <si>
    <t>10/28 Level 1                        12/2/2025   Level 2</t>
  </si>
  <si>
    <t>Wine/Coffee Bar Tile</t>
  </si>
  <si>
    <t>09-7.1</t>
  </si>
  <si>
    <t>Ice Cream Tile</t>
  </si>
  <si>
    <t>09-7.2</t>
  </si>
  <si>
    <t>Bathroom Accessories</t>
  </si>
  <si>
    <t>10-2</t>
  </si>
  <si>
    <t>Interior Signage</t>
  </si>
  <si>
    <t>10-3</t>
  </si>
  <si>
    <t>Bike Rack</t>
  </si>
  <si>
    <t>10-5</t>
  </si>
  <si>
    <t>Amazon</t>
  </si>
  <si>
    <t xml:space="preserve">Chad </t>
  </si>
  <si>
    <t>install Merritt</t>
  </si>
  <si>
    <t>Waiting for update from install</t>
  </si>
  <si>
    <t>Volleyball Post Sleeves</t>
  </si>
  <si>
    <t>Bart</t>
  </si>
  <si>
    <t>Bart Conners</t>
  </si>
  <si>
    <t>317-753-2899</t>
  </si>
  <si>
    <t>Waiting for update from Bart</t>
  </si>
  <si>
    <t>Track light 47</t>
  </si>
  <si>
    <t>Antler 17</t>
  </si>
  <si>
    <t>Jelly smoke 22</t>
  </si>
  <si>
    <t>OP-0Illuminate vintage cumstom 5</t>
  </si>
  <si>
    <t>at CIH</t>
  </si>
  <si>
    <t>CIH will be on site today to install 12/04/2025</t>
  </si>
  <si>
    <t>Product</t>
  </si>
  <si>
    <t>Product Type</t>
  </si>
  <si>
    <t>Date Needed For Install</t>
  </si>
  <si>
    <t>Accessories, Plumbing, Finishes, Lighting</t>
  </si>
  <si>
    <t>Accessories</t>
  </si>
  <si>
    <t>Bathroom Mirror</t>
  </si>
  <si>
    <t>Plumbing Fixtures</t>
  </si>
  <si>
    <t>Two C-07 on second level Mike is providing</t>
  </si>
  <si>
    <t>One one first level Alleato will provide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</si>
</sst>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lt;=9999999]###\-####;\(###\)\ ###\-####"/>
  </numFmts>
  <fonts count="22"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u/>
      <sz val="11"/>
      <color theme="1"/>
      <name val="Aptos Narrow"/>
      <family val="2"/>
      <scheme val="minor"/>
    </font>
    <font>
      <u/>
      <sz val="11"/>
      <color theme="1"/>
      <name val="Aptos Narrow"/>
      <family val="2"/>
      <scheme val="minor"/>
    </font>
    <font>
      <b/>
      <i/>
      <u/>
      <sz val="28"/>
      <color theme="1"/>
      <name val="Aptos Narrow"/>
      <family val="2"/>
      <scheme val="minor"/>
    </font>
    <font>
      <b/>
      <i/>
      <u/>
      <sz val="11"/>
      <color theme="1"/>
      <name val="Aptos Narrow"/>
      <family val="2"/>
      <scheme val="minor"/>
    </font>
    <font>
      <b/>
      <i/>
      <sz val="11"/>
      <color theme="1"/>
      <name val="Aptos Narrow"/>
      <family val="2"/>
      <scheme val="minor"/>
    </font>
    <font>
      <sz val="16"/>
      <color theme="1"/>
      <name val="Aptos Narrow"/>
      <family val="2"/>
      <scheme val="minor"/>
    </font>
    <font>
      <b/>
      <sz val="16"/>
      <color theme="1"/>
      <name val="Aptos Narrow"/>
      <family val="2"/>
      <scheme val="minor"/>
    </font>
    <font>
      <u/>
      <sz val="11"/>
      <color theme="10"/>
      <name val="Aptos Narrow"/>
      <family val="2"/>
      <scheme val="minor"/>
    </font>
    <font>
      <b/>
      <i/>
      <u/>
      <sz val="22"/>
      <color theme="1"/>
      <name val="Aptos Narrow"/>
      <family val="2"/>
      <scheme val="minor"/>
    </font>
    <font>
      <b/>
      <sz val="14"/>
      <color theme="1"/>
      <name val="Aptos Narrow"/>
      <family val="2"/>
      <scheme val="minor"/>
    </font>
    <font>
      <sz val="12"/>
      <color theme="1"/>
      <name val="Aptos Narrow"/>
      <family val="2"/>
      <scheme val="minor"/>
    </font>
    <font>
      <sz val="14"/>
      <color theme="1"/>
      <name val="Aptos Narrow"/>
      <family val="2"/>
      <scheme val="minor"/>
    </font>
    <font>
      <sz val="9"/>
      <color theme="1"/>
      <name val="Aptos Narrow"/>
      <family val="2"/>
      <scheme val="minor"/>
    </font>
    <font>
      <sz val="9"/>
      <color rgb="FF343A40"/>
      <name val="Arial"/>
      <family val="2"/>
    </font>
    <font>
      <b/>
      <i/>
      <u/>
      <sz val="26"/>
      <color theme="1"/>
      <name val="Aptos Narrow"/>
      <family val="2"/>
      <scheme val="minor"/>
    </font>
    <font>
      <sz val="11"/>
      <color theme="6"/>
      <name val="Aptos Narrow"/>
      <family val="2"/>
      <scheme val="minor"/>
    </font>
    <font>
      <b/>
      <u/>
      <sz val="12"/>
      <color theme="1"/>
      <name val="Aptos Narrow"/>
      <family val="2"/>
      <scheme val="minor"/>
    </font>
    <font>
      <b/>
      <sz val="14"/>
      <color theme="0"/>
      <name val="Aptos Narrow"/>
      <family val="2"/>
      <scheme val="minor"/>
    </font>
  </fonts>
  <fills count="27">
    <fill>
      <patternFill patternType="none"/>
    </fill>
    <fill>
      <patternFill patternType="gray125"/>
    </fill>
    <fill>
      <patternFill patternType="solid">
        <fgColor theme="5" tint="0.59999389629810485"/>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bgColor indexed="64"/>
      </patternFill>
    </fill>
    <fill>
      <patternFill patternType="solid">
        <fgColor theme="1"/>
        <bgColor indexed="64"/>
      </patternFill>
    </fill>
    <fill>
      <patternFill patternType="solid">
        <fgColor theme="2"/>
        <bgColor indexed="64"/>
      </patternFill>
    </fill>
    <fill>
      <patternFill patternType="solid">
        <fgColor rgb="FFFF0000"/>
        <bgColor indexed="64"/>
      </patternFill>
    </fill>
    <fill>
      <patternFill patternType="solid">
        <fgColor theme="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79BEA"/>
        <bgColor indexed="64"/>
      </patternFill>
    </fill>
    <fill>
      <patternFill patternType="solid">
        <fgColor rgb="FF3199F7"/>
        <bgColor indexed="64"/>
      </patternFill>
    </fill>
    <fill>
      <patternFill patternType="solid">
        <fgColor rgb="FFCCB794"/>
        <bgColor indexed="64"/>
      </patternFill>
    </fill>
    <fill>
      <patternFill patternType="solid">
        <fgColor rgb="FFB8F5FA"/>
        <bgColor indexed="64"/>
      </patternFill>
    </fill>
    <fill>
      <patternFill patternType="solid">
        <fgColor theme="7" tint="0.39997558519241921"/>
        <bgColor indexed="64"/>
      </patternFill>
    </fill>
    <fill>
      <patternFill patternType="solid">
        <fgColor rgb="FF7030A0"/>
        <bgColor indexed="64"/>
      </patternFill>
    </fill>
    <fill>
      <patternFill patternType="solid">
        <fgColor rgb="FFFCCCCC"/>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1" tint="4.9989318521683403E-2"/>
        <bgColor indexed="64"/>
      </patternFill>
    </fill>
  </fills>
  <borders count="5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s>
  <cellStyleXfs count="3">
    <xf numFmtId="0" fontId="0" fillId="0" borderId="0"/>
    <xf numFmtId="44" fontId="1" fillId="0" borderId="0" applyFont="0" applyFill="0" applyBorder="0" applyAlignment="0" applyProtection="0"/>
    <xf numFmtId="0" fontId="11" fillId="0" borderId="0" applyNumberFormat="0" applyFill="0" applyBorder="0" applyAlignment="0" applyProtection="0"/>
  </cellStyleXfs>
  <cellXfs count="337">
    <xf numFmtId="0" fontId="0" fillId="0" borderId="0" xfId="0"/>
    <xf numFmtId="0" fontId="0" fillId="0" borderId="0" xfId="0" applyAlignment="1">
      <alignment horizontal="center"/>
    </xf>
    <xf numFmtId="0" fontId="0" fillId="0" borderId="10" xfId="0" applyBorder="1"/>
    <xf numFmtId="0" fontId="0" fillId="0" borderId="10" xfId="0" applyBorder="1" applyAlignment="1">
      <alignment horizont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17" xfId="0" applyBorder="1" applyAlignment="1">
      <alignment horizontal="center" vertical="center"/>
    </xf>
    <xf numFmtId="0" fontId="0" fillId="0" borderId="29" xfId="0" applyBorder="1" applyAlignment="1">
      <alignment horizontal="center" vertical="center"/>
    </xf>
    <xf numFmtId="0" fontId="0" fillId="0" borderId="33" xfId="0" applyBorder="1"/>
    <xf numFmtId="0" fontId="0" fillId="0" borderId="34" xfId="0" applyBorder="1"/>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6" xfId="0" applyBorder="1" applyAlignment="1">
      <alignment horizontal="center" vertical="center"/>
    </xf>
    <xf numFmtId="0" fontId="0" fillId="0" borderId="39" xfId="0" applyBorder="1" applyAlignment="1">
      <alignment horizontal="center" vertical="center"/>
    </xf>
    <xf numFmtId="0" fontId="5" fillId="7" borderId="1" xfId="0" applyFont="1" applyFill="1" applyBorder="1" applyAlignment="1">
      <alignment horizontal="center" vertical="center"/>
    </xf>
    <xf numFmtId="0" fontId="0" fillId="7" borderId="32" xfId="0" applyFill="1" applyBorder="1" applyAlignment="1">
      <alignment horizontal="center" vertical="center"/>
    </xf>
    <xf numFmtId="0" fontId="0" fillId="7" borderId="41" xfId="0" applyFill="1" applyBorder="1" applyAlignment="1">
      <alignment horizontal="center" vertical="center"/>
    </xf>
    <xf numFmtId="0" fontId="0" fillId="7" borderId="32" xfId="0" applyFill="1" applyBorder="1"/>
    <xf numFmtId="0" fontId="5" fillId="7" borderId="30" xfId="0" applyFont="1" applyFill="1" applyBorder="1" applyAlignment="1">
      <alignment horizontal="center" vertical="center"/>
    </xf>
    <xf numFmtId="0" fontId="0" fillId="7" borderId="33" xfId="0" applyFill="1" applyBorder="1" applyAlignment="1">
      <alignment horizontal="center" vertical="center"/>
    </xf>
    <xf numFmtId="0" fontId="0" fillId="7" borderId="34" xfId="0" applyFill="1" applyBorder="1" applyAlignment="1">
      <alignment horizontal="center" vertical="center"/>
    </xf>
    <xf numFmtId="0" fontId="0" fillId="0" borderId="7" xfId="0" applyBorder="1" applyAlignment="1">
      <alignment horizontal="center" vertical="center"/>
    </xf>
    <xf numFmtId="0" fontId="0" fillId="7" borderId="31" xfId="0" applyFill="1" applyBorder="1" applyAlignment="1">
      <alignment horizontal="center" vertical="center"/>
    </xf>
    <xf numFmtId="0" fontId="0" fillId="3" borderId="4" xfId="0" applyFill="1" applyBorder="1" applyAlignment="1">
      <alignment horizontal="center" vertical="center"/>
    </xf>
    <xf numFmtId="0" fontId="0" fillId="3" borderId="1" xfId="0" applyFill="1" applyBorder="1" applyAlignment="1">
      <alignment horizontal="center" vertical="center"/>
    </xf>
    <xf numFmtId="0" fontId="0" fillId="5" borderId="30" xfId="0" applyFill="1" applyBorder="1" applyAlignment="1">
      <alignment horizontal="center" vertical="center"/>
    </xf>
    <xf numFmtId="0" fontId="0" fillId="5" borderId="7" xfId="0" applyFill="1" applyBorder="1" applyAlignment="1">
      <alignment horizontal="center" vertical="center"/>
    </xf>
    <xf numFmtId="0" fontId="0" fillId="8" borderId="13" xfId="0" applyFill="1" applyBorder="1"/>
    <xf numFmtId="0" fontId="0" fillId="8" borderId="14" xfId="0" applyFill="1" applyBorder="1"/>
    <xf numFmtId="0" fontId="0" fillId="8" borderId="14" xfId="0" applyFill="1" applyBorder="1" applyAlignment="1">
      <alignment horizontal="center" vertical="center"/>
    </xf>
    <xf numFmtId="0" fontId="0" fillId="8" borderId="15" xfId="0" applyFill="1" applyBorder="1"/>
    <xf numFmtId="0" fontId="0" fillId="8" borderId="13" xfId="0" applyFill="1" applyBorder="1" applyAlignment="1">
      <alignment horizontal="center" vertical="center"/>
    </xf>
    <xf numFmtId="0" fontId="0" fillId="8" borderId="15" xfId="0" applyFill="1" applyBorder="1" applyAlignment="1">
      <alignment horizontal="center" vertical="center"/>
    </xf>
    <xf numFmtId="0" fontId="0" fillId="0" borderId="16" xfId="0" applyBorder="1"/>
    <xf numFmtId="0" fontId="0" fillId="0" borderId="12" xfId="0" applyBorder="1"/>
    <xf numFmtId="0" fontId="0" fillId="0" borderId="17" xfId="0" applyBorder="1"/>
    <xf numFmtId="0" fontId="0" fillId="8" borderId="16" xfId="0" applyFill="1" applyBorder="1"/>
    <xf numFmtId="0" fontId="0" fillId="8" borderId="12" xfId="0" applyFill="1" applyBorder="1"/>
    <xf numFmtId="0" fontId="0" fillId="8" borderId="12" xfId="0" applyFill="1" applyBorder="1" applyAlignment="1">
      <alignment horizontal="center" vertical="center"/>
    </xf>
    <xf numFmtId="0" fontId="0" fillId="8" borderId="17" xfId="0" applyFill="1" applyBorder="1"/>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xf numFmtId="0" fontId="0" fillId="8" borderId="19" xfId="0" applyFill="1" applyBorder="1"/>
    <xf numFmtId="0" fontId="0" fillId="8" borderId="19" xfId="0" applyFill="1" applyBorder="1" applyAlignment="1">
      <alignment horizontal="center" vertical="center"/>
    </xf>
    <xf numFmtId="0" fontId="0" fillId="8" borderId="20" xfId="0" applyFill="1" applyBorder="1"/>
    <xf numFmtId="0" fontId="0" fillId="8" borderId="18" xfId="0" applyFill="1" applyBorder="1" applyAlignment="1">
      <alignment horizontal="center" vertical="center"/>
    </xf>
    <xf numFmtId="0" fontId="0" fillId="8" borderId="20" xfId="0" applyFill="1" applyBorder="1" applyAlignment="1">
      <alignment horizontal="center" vertical="center"/>
    </xf>
    <xf numFmtId="0" fontId="0" fillId="9" borderId="16" xfId="0" applyFill="1" applyBorder="1"/>
    <xf numFmtId="0" fontId="0" fillId="0" borderId="12" xfId="0" applyBorder="1" applyAlignment="1">
      <alignment wrapText="1"/>
    </xf>
    <xf numFmtId="0" fontId="0" fillId="0" borderId="18" xfId="0" applyBorder="1"/>
    <xf numFmtId="0" fontId="0" fillId="0" borderId="19" xfId="0" applyBorder="1"/>
    <xf numFmtId="0" fontId="0" fillId="0" borderId="20" xfId="0" applyBorder="1"/>
    <xf numFmtId="0" fontId="0" fillId="6" borderId="16" xfId="0" applyFill="1" applyBorder="1" applyAlignment="1">
      <alignment horizontal="center" vertical="center"/>
    </xf>
    <xf numFmtId="0" fontId="0" fillId="6" borderId="12" xfId="0" applyFill="1" applyBorder="1" applyAlignment="1">
      <alignment horizontal="center" vertical="center"/>
    </xf>
    <xf numFmtId="0" fontId="0" fillId="5" borderId="12" xfId="0" applyFill="1" applyBorder="1" applyAlignment="1">
      <alignment horizontal="center" vertical="center"/>
    </xf>
    <xf numFmtId="0" fontId="0" fillId="0" borderId="19" xfId="0" applyBorder="1" applyAlignment="1">
      <alignment wrapText="1"/>
    </xf>
    <xf numFmtId="0" fontId="13" fillId="5" borderId="32" xfId="0" applyFont="1" applyFill="1" applyBorder="1" applyAlignment="1">
      <alignment horizontal="center" vertical="center"/>
    </xf>
    <xf numFmtId="0" fontId="13" fillId="5" borderId="30" xfId="0" applyFont="1" applyFill="1" applyBorder="1" applyAlignment="1">
      <alignment horizontal="center" vertical="center"/>
    </xf>
    <xf numFmtId="0" fontId="13" fillId="0" borderId="1" xfId="0" applyFont="1" applyBorder="1" applyAlignment="1">
      <alignment horizontal="center" vertical="center"/>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0" fillId="0" borderId="4" xfId="0" applyBorder="1" applyAlignment="1">
      <alignment horizontal="left" vertical="top" wrapText="1"/>
    </xf>
    <xf numFmtId="0" fontId="11" fillId="0" borderId="1" xfId="2" applyBorder="1" applyAlignment="1">
      <alignment wrapText="1"/>
    </xf>
    <xf numFmtId="0" fontId="0" fillId="0" borderId="1" xfId="0" applyBorder="1" applyAlignment="1">
      <alignment wrapText="1"/>
    </xf>
    <xf numFmtId="0" fontId="14" fillId="0" borderId="10" xfId="0" applyFont="1" applyBorder="1" applyAlignment="1">
      <alignment horizontal="center" vertical="center"/>
    </xf>
    <xf numFmtId="0" fontId="14" fillId="0" borderId="32" xfId="0" applyFont="1" applyBorder="1" applyAlignment="1">
      <alignment horizontal="center" vertical="center"/>
    </xf>
    <xf numFmtId="0" fontId="0" fillId="0" borderId="11" xfId="0" applyBorder="1" applyAlignment="1">
      <alignment horizontal="left" vertical="top" wrapText="1"/>
    </xf>
    <xf numFmtId="0" fontId="0" fillId="0" borderId="32" xfId="0" applyBorder="1" applyAlignment="1">
      <alignment wrapText="1"/>
    </xf>
    <xf numFmtId="49" fontId="0" fillId="0" borderId="0" xfId="0" applyNumberFormat="1" applyAlignment="1">
      <alignment horizontal="center"/>
    </xf>
    <xf numFmtId="164" fontId="0" fillId="0" borderId="0" xfId="0" applyNumberFormat="1" applyAlignment="1">
      <alignment horizontal="center"/>
    </xf>
    <xf numFmtId="49" fontId="0" fillId="0" borderId="10" xfId="0" applyNumberFormat="1" applyBorder="1" applyAlignment="1">
      <alignment horizontal="center"/>
    </xf>
    <xf numFmtId="164" fontId="0" fillId="0" borderId="10" xfId="0" applyNumberFormat="1" applyBorder="1" applyAlignment="1">
      <alignment horizontal="center"/>
    </xf>
    <xf numFmtId="0" fontId="3" fillId="11" borderId="1" xfId="0" applyFont="1" applyFill="1" applyBorder="1" applyAlignment="1">
      <alignment horizontal="center" wrapText="1"/>
    </xf>
    <xf numFmtId="0" fontId="3" fillId="11" borderId="0" xfId="0" applyFont="1" applyFill="1" applyAlignment="1">
      <alignment horizontal="center" wrapText="1"/>
    </xf>
    <xf numFmtId="0" fontId="0" fillId="0" borderId="0" xfId="0" applyAlignment="1">
      <alignment wrapText="1"/>
    </xf>
    <xf numFmtId="0" fontId="0" fillId="0" borderId="0" xfId="0" applyAlignment="1">
      <alignment horizontal="center" wrapText="1"/>
    </xf>
    <xf numFmtId="49" fontId="0" fillId="0" borderId="0" xfId="0" applyNumberFormat="1" applyAlignment="1">
      <alignment horizontal="center" wrapText="1"/>
    </xf>
    <xf numFmtId="164" fontId="0" fillId="0" borderId="0" xfId="0" applyNumberFormat="1" applyAlignment="1">
      <alignment horizontal="center" wrapText="1"/>
    </xf>
    <xf numFmtId="14" fontId="0" fillId="0" borderId="0" xfId="0" applyNumberFormat="1" applyAlignment="1">
      <alignment horizontal="center" wrapText="1"/>
    </xf>
    <xf numFmtId="0" fontId="3" fillId="5" borderId="32" xfId="0" applyFont="1" applyFill="1" applyBorder="1" applyAlignment="1">
      <alignment horizontal="center" wrapText="1"/>
    </xf>
    <xf numFmtId="49" fontId="0" fillId="5" borderId="0" xfId="0" applyNumberFormat="1" applyFill="1" applyAlignment="1">
      <alignment horizontal="center" wrapText="1"/>
    </xf>
    <xf numFmtId="0" fontId="0" fillId="5" borderId="0" xfId="0" applyFill="1" applyAlignment="1">
      <alignment horizontal="center" wrapText="1"/>
    </xf>
    <xf numFmtId="164" fontId="0" fillId="5" borderId="0" xfId="0" applyNumberFormat="1" applyFill="1" applyAlignment="1">
      <alignment horizontal="center" wrapText="1"/>
    </xf>
    <xf numFmtId="49" fontId="0" fillId="0" borderId="0" xfId="0" applyNumberFormat="1"/>
    <xf numFmtId="164" fontId="0" fillId="0" borderId="0" xfId="0" applyNumberFormat="1"/>
    <xf numFmtId="0" fontId="3" fillId="12" borderId="1" xfId="0" applyFont="1" applyFill="1" applyBorder="1" applyAlignment="1">
      <alignment horizontal="center" wrapText="1"/>
    </xf>
    <xf numFmtId="49" fontId="3" fillId="12" borderId="0" xfId="0" applyNumberFormat="1" applyFont="1" applyFill="1" applyAlignment="1">
      <alignment horizontal="center" wrapText="1"/>
    </xf>
    <xf numFmtId="0" fontId="3" fillId="12" borderId="0" xfId="0" applyFont="1" applyFill="1" applyAlignment="1">
      <alignment horizontal="center" wrapText="1"/>
    </xf>
    <xf numFmtId="164" fontId="3" fillId="12" borderId="0" xfId="0" applyNumberFormat="1" applyFont="1" applyFill="1" applyAlignment="1">
      <alignment horizontal="center" wrapText="1"/>
    </xf>
    <xf numFmtId="0" fontId="11" fillId="0" borderId="0" xfId="2" applyAlignment="1">
      <alignment horizontal="center" wrapText="1"/>
    </xf>
    <xf numFmtId="16" fontId="0" fillId="0" borderId="0" xfId="0" applyNumberFormat="1" applyAlignment="1">
      <alignment horizontal="center" wrapText="1"/>
    </xf>
    <xf numFmtId="0" fontId="3" fillId="4" borderId="1" xfId="0" applyFont="1" applyFill="1" applyBorder="1" applyAlignment="1">
      <alignment horizontal="center" wrapText="1"/>
    </xf>
    <xf numFmtId="49" fontId="3" fillId="4" borderId="0" xfId="0" applyNumberFormat="1" applyFont="1" applyFill="1" applyAlignment="1">
      <alignment horizontal="center" wrapText="1"/>
    </xf>
    <xf numFmtId="0" fontId="3" fillId="4" borderId="0" xfId="0" applyFont="1" applyFill="1" applyAlignment="1">
      <alignment horizontal="center" wrapText="1"/>
    </xf>
    <xf numFmtId="164" fontId="3" fillId="4" borderId="0" xfId="0" applyNumberFormat="1" applyFont="1" applyFill="1" applyAlignment="1">
      <alignment horizontal="center" wrapText="1"/>
    </xf>
    <xf numFmtId="0" fontId="17" fillId="0" borderId="0" xfId="0" applyFont="1" applyAlignment="1">
      <alignment horizontal="center" wrapText="1"/>
    </xf>
    <xf numFmtId="0" fontId="3" fillId="13" borderId="1" xfId="0" applyFont="1" applyFill="1" applyBorder="1" applyAlignment="1">
      <alignment horizontal="center" wrapText="1"/>
    </xf>
    <xf numFmtId="49" fontId="3" fillId="13" borderId="0" xfId="0" applyNumberFormat="1" applyFont="1" applyFill="1" applyAlignment="1">
      <alignment horizontal="center" wrapText="1"/>
    </xf>
    <xf numFmtId="0" fontId="3" fillId="13" borderId="0" xfId="0" applyFont="1" applyFill="1" applyAlignment="1">
      <alignment horizontal="center" wrapText="1"/>
    </xf>
    <xf numFmtId="164" fontId="3" fillId="13" borderId="0" xfId="0" applyNumberFormat="1" applyFont="1" applyFill="1" applyAlignment="1">
      <alignment horizontal="center" wrapText="1"/>
    </xf>
    <xf numFmtId="164" fontId="17" fillId="0" borderId="0" xfId="0" applyNumberFormat="1" applyFont="1" applyAlignment="1">
      <alignment horizontal="center" wrapText="1"/>
    </xf>
    <xf numFmtId="0" fontId="3" fillId="14" borderId="1" xfId="0" applyFont="1" applyFill="1" applyBorder="1" applyAlignment="1">
      <alignment horizontal="center" wrapText="1"/>
    </xf>
    <xf numFmtId="49" fontId="3" fillId="14" borderId="0" xfId="0" applyNumberFormat="1" applyFont="1" applyFill="1" applyAlignment="1">
      <alignment horizontal="center" wrapText="1"/>
    </xf>
    <xf numFmtId="0" fontId="3" fillId="14" borderId="0" xfId="0" applyFont="1" applyFill="1" applyAlignment="1">
      <alignment horizontal="center" wrapText="1"/>
    </xf>
    <xf numFmtId="164" fontId="3" fillId="14" borderId="0" xfId="0" applyNumberFormat="1" applyFont="1" applyFill="1" applyAlignment="1">
      <alignment horizontal="center" wrapText="1"/>
    </xf>
    <xf numFmtId="0" fontId="11" fillId="0" borderId="0" xfId="2" applyFill="1" applyBorder="1" applyAlignment="1">
      <alignment horizontal="center" wrapText="1"/>
    </xf>
    <xf numFmtId="0" fontId="3" fillId="15" borderId="1" xfId="0" applyFont="1" applyFill="1" applyBorder="1" applyAlignment="1">
      <alignment horizontal="center" wrapText="1"/>
    </xf>
    <xf numFmtId="49" fontId="3" fillId="15" borderId="0" xfId="0" applyNumberFormat="1" applyFont="1" applyFill="1" applyAlignment="1">
      <alignment horizontal="center" wrapText="1"/>
    </xf>
    <xf numFmtId="0" fontId="3" fillId="15" borderId="0" xfId="0" applyFont="1" applyFill="1" applyAlignment="1">
      <alignment horizontal="center" wrapText="1"/>
    </xf>
    <xf numFmtId="164" fontId="3" fillId="15" borderId="0" xfId="0" applyNumberFormat="1" applyFont="1" applyFill="1" applyAlignment="1">
      <alignment horizontal="center" wrapText="1"/>
    </xf>
    <xf numFmtId="0" fontId="3" fillId="16" borderId="1" xfId="0" applyFont="1" applyFill="1" applyBorder="1" applyAlignment="1">
      <alignment horizontal="center" wrapText="1"/>
    </xf>
    <xf numFmtId="49" fontId="3" fillId="16" borderId="0" xfId="0" applyNumberFormat="1" applyFont="1" applyFill="1" applyAlignment="1">
      <alignment horizontal="center" wrapText="1"/>
    </xf>
    <xf numFmtId="0" fontId="3" fillId="16" borderId="0" xfId="0" applyFont="1" applyFill="1" applyAlignment="1">
      <alignment horizontal="center" wrapText="1"/>
    </xf>
    <xf numFmtId="164" fontId="3" fillId="16" borderId="0" xfId="0" applyNumberFormat="1" applyFont="1" applyFill="1" applyAlignment="1">
      <alignment horizontal="center" wrapText="1"/>
    </xf>
    <xf numFmtId="0" fontId="3" fillId="17" borderId="1" xfId="0" applyFont="1" applyFill="1" applyBorder="1" applyAlignment="1">
      <alignment horizontal="center" wrapText="1"/>
    </xf>
    <xf numFmtId="49" fontId="3" fillId="17" borderId="0" xfId="0" applyNumberFormat="1" applyFont="1" applyFill="1" applyAlignment="1">
      <alignment horizontal="center" wrapText="1"/>
    </xf>
    <xf numFmtId="0" fontId="3" fillId="17" borderId="0" xfId="0" applyFont="1" applyFill="1" applyAlignment="1">
      <alignment horizontal="center" wrapText="1"/>
    </xf>
    <xf numFmtId="164" fontId="3" fillId="17" borderId="0" xfId="0" applyNumberFormat="1" applyFont="1" applyFill="1" applyAlignment="1">
      <alignment horizontal="center" wrapText="1"/>
    </xf>
    <xf numFmtId="0" fontId="3" fillId="18" borderId="1" xfId="0" applyFont="1" applyFill="1" applyBorder="1" applyAlignment="1">
      <alignment horizontal="center" wrapText="1"/>
    </xf>
    <xf numFmtId="49" fontId="0" fillId="18" borderId="0" xfId="0" applyNumberFormat="1" applyFill="1" applyAlignment="1">
      <alignment horizontal="center" wrapText="1"/>
    </xf>
    <xf numFmtId="0" fontId="0" fillId="18" borderId="0" xfId="0" applyFill="1" applyAlignment="1">
      <alignment horizontal="center" wrapText="1"/>
    </xf>
    <xf numFmtId="164" fontId="0" fillId="18" borderId="0" xfId="0" applyNumberFormat="1" applyFill="1" applyAlignment="1">
      <alignment horizontal="center" wrapText="1"/>
    </xf>
    <xf numFmtId="0" fontId="3" fillId="19" borderId="1" xfId="0" applyFont="1" applyFill="1" applyBorder="1" applyAlignment="1">
      <alignment horizontal="center" wrapText="1"/>
    </xf>
    <xf numFmtId="49" fontId="0" fillId="19" borderId="0" xfId="0" applyNumberFormat="1" applyFill="1" applyAlignment="1">
      <alignment horizontal="center" wrapText="1"/>
    </xf>
    <xf numFmtId="0" fontId="0" fillId="19" borderId="0" xfId="0" applyFill="1" applyAlignment="1">
      <alignment horizontal="center" wrapText="1"/>
    </xf>
    <xf numFmtId="164" fontId="0" fillId="19" borderId="0" xfId="0" applyNumberFormat="1" applyFill="1" applyAlignment="1">
      <alignment horizontal="center" wrapText="1"/>
    </xf>
    <xf numFmtId="0" fontId="0" fillId="12" borderId="1" xfId="0" applyFill="1" applyBorder="1" applyAlignment="1">
      <alignment horizontal="center" wrapText="1"/>
    </xf>
    <xf numFmtId="49" fontId="0" fillId="12" borderId="0" xfId="0" applyNumberFormat="1" applyFill="1" applyAlignment="1">
      <alignment horizontal="center" wrapText="1"/>
    </xf>
    <xf numFmtId="0" fontId="0" fillId="12" borderId="0" xfId="0" applyFill="1" applyAlignment="1">
      <alignment horizontal="center" wrapText="1"/>
    </xf>
    <xf numFmtId="164" fontId="0" fillId="12" borderId="0" xfId="0" applyNumberFormat="1" applyFill="1" applyAlignment="1">
      <alignment horizontal="center" wrapText="1"/>
    </xf>
    <xf numFmtId="0" fontId="0" fillId="12" borderId="0" xfId="0" applyFill="1" applyAlignment="1">
      <alignment wrapText="1"/>
    </xf>
    <xf numFmtId="0" fontId="3" fillId="20" borderId="1" xfId="0" applyFont="1" applyFill="1" applyBorder="1" applyAlignment="1">
      <alignment horizontal="center" wrapText="1"/>
    </xf>
    <xf numFmtId="49" fontId="0" fillId="20" borderId="0" xfId="0" applyNumberFormat="1" applyFill="1" applyAlignment="1">
      <alignment horizontal="center" wrapText="1"/>
    </xf>
    <xf numFmtId="0" fontId="0" fillId="20" borderId="0" xfId="0" applyFill="1" applyAlignment="1">
      <alignment horizontal="center" wrapText="1"/>
    </xf>
    <xf numFmtId="164" fontId="0" fillId="20" borderId="0" xfId="0" applyNumberFormat="1" applyFill="1" applyAlignment="1">
      <alignment horizontal="center" wrapText="1"/>
    </xf>
    <xf numFmtId="0" fontId="11" fillId="20" borderId="0" xfId="2" applyFill="1" applyAlignment="1">
      <alignment horizontal="center" wrapText="1"/>
    </xf>
    <xf numFmtId="14" fontId="0" fillId="20" borderId="0" xfId="0" applyNumberFormat="1" applyFill="1" applyAlignment="1">
      <alignment horizontal="center" wrapText="1"/>
    </xf>
    <xf numFmtId="0" fontId="2" fillId="21" borderId="1" xfId="0" applyFont="1" applyFill="1" applyBorder="1" applyAlignment="1">
      <alignment horizontal="center" wrapText="1"/>
    </xf>
    <xf numFmtId="49" fontId="0" fillId="21" borderId="0" xfId="0" applyNumberFormat="1" applyFill="1" applyAlignment="1">
      <alignment horizontal="center" wrapText="1"/>
    </xf>
    <xf numFmtId="0" fontId="0" fillId="21" borderId="0" xfId="0" applyFill="1" applyAlignment="1">
      <alignment horizontal="center" wrapText="1"/>
    </xf>
    <xf numFmtId="164" fontId="0" fillId="21" borderId="0" xfId="0" applyNumberFormat="1" applyFill="1" applyAlignment="1">
      <alignment horizontal="center" wrapText="1"/>
    </xf>
    <xf numFmtId="0" fontId="11" fillId="21" borderId="0" xfId="2" applyFill="1" applyAlignment="1">
      <alignment horizontal="center" wrapText="1"/>
    </xf>
    <xf numFmtId="14" fontId="0" fillId="21" borderId="0" xfId="0" applyNumberFormat="1" applyFill="1" applyAlignment="1">
      <alignment horizontal="center" wrapText="1"/>
    </xf>
    <xf numFmtId="49" fontId="0" fillId="13" borderId="0" xfId="0" applyNumberFormat="1" applyFill="1" applyAlignment="1">
      <alignment horizontal="center" wrapText="1"/>
    </xf>
    <xf numFmtId="0" fontId="0" fillId="13" borderId="0" xfId="0" applyFill="1" applyAlignment="1">
      <alignment horizontal="center" wrapText="1"/>
    </xf>
    <xf numFmtId="164" fontId="0" fillId="13" borderId="0" xfId="0" applyNumberFormat="1" applyFill="1" applyAlignment="1">
      <alignment horizontal="center" wrapText="1"/>
    </xf>
    <xf numFmtId="0" fontId="11" fillId="13" borderId="0" xfId="2" applyFill="1" applyAlignment="1">
      <alignment horizontal="center" wrapText="1"/>
    </xf>
    <xf numFmtId="14" fontId="0" fillId="13" borderId="0" xfId="0" applyNumberFormat="1" applyFill="1" applyAlignment="1">
      <alignment horizontal="center" wrapText="1"/>
    </xf>
    <xf numFmtId="0" fontId="3" fillId="22" borderId="1" xfId="0" applyFont="1" applyFill="1" applyBorder="1" applyAlignment="1">
      <alignment horizontal="center" wrapText="1"/>
    </xf>
    <xf numFmtId="49" fontId="0" fillId="22" borderId="0" xfId="0" applyNumberFormat="1" applyFill="1" applyAlignment="1">
      <alignment horizontal="center" wrapText="1"/>
    </xf>
    <xf numFmtId="0" fontId="0" fillId="22" borderId="0" xfId="0" applyFill="1" applyAlignment="1">
      <alignment horizontal="center" wrapText="1"/>
    </xf>
    <xf numFmtId="164" fontId="0" fillId="22" borderId="0" xfId="0" applyNumberFormat="1" applyFill="1" applyAlignment="1">
      <alignment horizontal="center" wrapText="1"/>
    </xf>
    <xf numFmtId="0" fontId="0" fillId="0" borderId="30" xfId="0" applyBorder="1" applyAlignment="1">
      <alignment horizontal="center" wrapText="1"/>
    </xf>
    <xf numFmtId="0" fontId="0" fillId="0" borderId="31" xfId="0" applyBorder="1" applyAlignment="1">
      <alignment horizontal="center" wrapText="1"/>
    </xf>
    <xf numFmtId="0" fontId="0" fillId="0" borderId="32" xfId="0" applyBorder="1" applyAlignment="1">
      <alignment horizontal="center" wrapText="1"/>
    </xf>
    <xf numFmtId="0" fontId="0" fillId="5" borderId="24" xfId="0" applyFill="1" applyBorder="1" applyAlignment="1">
      <alignment horizontal="center" vertical="center"/>
    </xf>
    <xf numFmtId="0" fontId="0" fillId="5" borderId="13" xfId="0" applyFill="1" applyBorder="1" applyAlignment="1">
      <alignment horizontal="center" vertical="center"/>
    </xf>
    <xf numFmtId="0" fontId="0" fillId="5" borderId="14" xfId="0" applyFill="1" applyBorder="1" applyAlignment="1">
      <alignment horizontal="center" vertical="center"/>
    </xf>
    <xf numFmtId="0" fontId="0" fillId="5" borderId="27" xfId="0" applyFill="1" applyBorder="1" applyAlignment="1">
      <alignment horizontal="center" vertical="center"/>
    </xf>
    <xf numFmtId="0" fontId="0" fillId="5" borderId="15" xfId="0" applyFill="1" applyBorder="1" applyAlignment="1">
      <alignment horizontal="center" vertical="center"/>
    </xf>
    <xf numFmtId="0" fontId="0" fillId="0" borderId="23" xfId="0" applyBorder="1" applyAlignment="1">
      <alignment horizontal="center"/>
    </xf>
    <xf numFmtId="0" fontId="0" fillId="0" borderId="12" xfId="0" applyBorder="1" applyAlignment="1">
      <alignment horizontal="center"/>
    </xf>
    <xf numFmtId="44" fontId="0" fillId="0" borderId="12" xfId="1" applyFont="1" applyBorder="1" applyAlignment="1">
      <alignment horizontal="center"/>
    </xf>
    <xf numFmtId="14" fontId="0" fillId="0" borderId="12" xfId="0" applyNumberFormat="1" applyBorder="1" applyAlignment="1">
      <alignment horizontal="center"/>
    </xf>
    <xf numFmtId="14" fontId="0" fillId="0" borderId="29" xfId="0" applyNumberFormat="1" applyBorder="1" applyAlignment="1">
      <alignment horizontal="center"/>
    </xf>
    <xf numFmtId="0" fontId="0" fillId="0" borderId="29" xfId="0" applyBorder="1" applyAlignment="1">
      <alignment horizontal="center"/>
    </xf>
    <xf numFmtId="0" fontId="0" fillId="0" borderId="33" xfId="0" applyBorder="1" applyAlignment="1">
      <alignment wrapText="1"/>
    </xf>
    <xf numFmtId="0" fontId="0" fillId="0" borderId="23" xfId="0" applyBorder="1" applyAlignment="1">
      <alignment horizontal="center" vertical="center"/>
    </xf>
    <xf numFmtId="44" fontId="0" fillId="0" borderId="12" xfId="1" applyFont="1" applyBorder="1" applyAlignment="1">
      <alignment horizontal="center" vertical="center"/>
    </xf>
    <xf numFmtId="14" fontId="0" fillId="0" borderId="12" xfId="0" applyNumberFormat="1" applyBorder="1" applyAlignment="1">
      <alignment horizontal="center" vertical="center"/>
    </xf>
    <xf numFmtId="14" fontId="0" fillId="0" borderId="29" xfId="0" applyNumberFormat="1" applyBorder="1" applyAlignment="1">
      <alignment horizontal="center" vertical="center"/>
    </xf>
    <xf numFmtId="0" fontId="0" fillId="0" borderId="34" xfId="0" applyBorder="1" applyAlignment="1">
      <alignment wrapText="1"/>
    </xf>
    <xf numFmtId="0" fontId="0" fillId="13" borderId="34" xfId="0" applyFill="1" applyBorder="1" applyAlignment="1">
      <alignment wrapText="1"/>
    </xf>
    <xf numFmtId="0" fontId="0" fillId="24" borderId="34" xfId="0" applyFill="1" applyBorder="1" applyAlignment="1">
      <alignment wrapText="1"/>
    </xf>
    <xf numFmtId="0" fontId="0" fillId="6" borderId="34" xfId="0" applyFill="1" applyBorder="1" applyAlignment="1">
      <alignment wrapText="1"/>
    </xf>
    <xf numFmtId="0" fontId="0" fillId="0" borderId="12" xfId="0" applyBorder="1" applyAlignment="1">
      <alignment horizontal="center" vertical="center" wrapText="1"/>
    </xf>
    <xf numFmtId="0" fontId="0" fillId="23" borderId="34" xfId="0" applyFill="1" applyBorder="1" applyAlignment="1">
      <alignment wrapText="1"/>
    </xf>
    <xf numFmtId="0" fontId="0" fillId="0" borderId="42" xfId="0" applyBorder="1" applyAlignment="1">
      <alignment horizontal="center" vertical="center"/>
    </xf>
    <xf numFmtId="0" fontId="0" fillId="0" borderId="22" xfId="0" applyBorder="1" applyAlignment="1">
      <alignment horizontal="center" vertical="center"/>
    </xf>
    <xf numFmtId="44" fontId="0" fillId="0" borderId="19" xfId="1" applyFont="1" applyBorder="1" applyAlignment="1">
      <alignment horizontal="center" vertical="center"/>
    </xf>
    <xf numFmtId="0" fontId="0" fillId="0" borderId="42" xfId="0" applyBorder="1" applyAlignment="1">
      <alignment wrapText="1"/>
    </xf>
    <xf numFmtId="14" fontId="0" fillId="0" borderId="19" xfId="0" applyNumberFormat="1" applyBorder="1" applyAlignment="1">
      <alignment horizontal="center" vertical="center"/>
    </xf>
    <xf numFmtId="0" fontId="5" fillId="5" borderId="32"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30" xfId="0" applyFont="1" applyFill="1" applyBorder="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44" fontId="0" fillId="0" borderId="14" xfId="1" applyFont="1" applyBorder="1"/>
    <xf numFmtId="0" fontId="0" fillId="0" borderId="27" xfId="0" applyBorder="1" applyAlignment="1">
      <alignment horizontal="center"/>
    </xf>
    <xf numFmtId="0" fontId="0" fillId="0" borderId="16" xfId="0" applyBorder="1" applyAlignment="1">
      <alignment horizontal="center"/>
    </xf>
    <xf numFmtId="44" fontId="0" fillId="0" borderId="12" xfId="1" applyFont="1" applyBorder="1"/>
    <xf numFmtId="0" fontId="0" fillId="0" borderId="29" xfId="0" applyBorder="1"/>
    <xf numFmtId="0" fontId="0" fillId="0" borderId="21" xfId="0" applyBorder="1"/>
    <xf numFmtId="0" fontId="0" fillId="0" borderId="42" xfId="0" applyBorder="1"/>
    <xf numFmtId="0" fontId="14" fillId="0" borderId="0" xfId="0" applyFont="1"/>
    <xf numFmtId="0" fontId="0" fillId="0" borderId="0" xfId="0"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19" fillId="25" borderId="11" xfId="0" applyFont="1" applyFill="1" applyBorder="1" applyAlignment="1">
      <alignment horizontal="center" vertical="center"/>
    </xf>
    <xf numFmtId="44" fontId="0" fillId="0" borderId="16" xfId="1" applyFont="1" applyBorder="1"/>
    <xf numFmtId="44" fontId="0" fillId="0" borderId="17" xfId="1" applyFont="1" applyBorder="1"/>
    <xf numFmtId="44" fontId="0" fillId="0" borderId="18" xfId="1" applyFont="1" applyBorder="1"/>
    <xf numFmtId="44" fontId="0" fillId="0" borderId="19" xfId="1" applyFont="1" applyBorder="1"/>
    <xf numFmtId="44" fontId="0" fillId="0" borderId="20" xfId="1" applyFont="1" applyBorder="1"/>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0" borderId="31" xfId="0" applyBorder="1" applyAlignment="1">
      <alignment horizontal="center"/>
    </xf>
    <xf numFmtId="44" fontId="0" fillId="0" borderId="33" xfId="0" applyNumberFormat="1" applyBorder="1"/>
    <xf numFmtId="0" fontId="0" fillId="2" borderId="2" xfId="0" applyFill="1" applyBorder="1" applyAlignment="1">
      <alignment horizontal="center"/>
    </xf>
    <xf numFmtId="44" fontId="0" fillId="24" borderId="42" xfId="0" applyNumberFormat="1" applyFill="1" applyBorder="1"/>
    <xf numFmtId="0" fontId="0" fillId="0" borderId="15" xfId="0" applyBorder="1"/>
    <xf numFmtId="0" fontId="3" fillId="23" borderId="1" xfId="0" applyFont="1" applyFill="1" applyBorder="1" applyAlignment="1">
      <alignment horizontal="center" vertical="center"/>
    </xf>
    <xf numFmtId="0" fontId="0" fillId="0" borderId="30" xfId="0" applyBorder="1"/>
    <xf numFmtId="0" fontId="0" fillId="0" borderId="31" xfId="0" applyBorder="1"/>
    <xf numFmtId="0" fontId="0" fillId="0" borderId="32" xfId="0" applyBorder="1"/>
    <xf numFmtId="0" fontId="3" fillId="2" borderId="45" xfId="0" applyFont="1" applyFill="1" applyBorder="1" applyAlignment="1">
      <alignment horizontal="center" vertical="center"/>
    </xf>
    <xf numFmtId="0" fontId="3" fillId="2" borderId="38"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20" fillId="4" borderId="25" xfId="0" applyFont="1" applyFill="1" applyBorder="1" applyAlignment="1">
      <alignment horizontal="center" vertical="center"/>
    </xf>
    <xf numFmtId="0" fontId="20" fillId="4" borderId="43" xfId="0" applyFont="1" applyFill="1" applyBorder="1" applyAlignment="1">
      <alignment horizontal="center" vertical="center"/>
    </xf>
    <xf numFmtId="0" fontId="20" fillId="4" borderId="44" xfId="0" applyFont="1" applyFill="1" applyBorder="1" applyAlignment="1">
      <alignment horizontal="center" vertical="center"/>
    </xf>
    <xf numFmtId="0" fontId="20" fillId="4" borderId="1" xfId="0" applyFont="1" applyFill="1" applyBorder="1" applyAlignment="1">
      <alignment horizontal="center" vertical="center"/>
    </xf>
    <xf numFmtId="0" fontId="3" fillId="26" borderId="1" xfId="0" applyFont="1" applyFill="1" applyBorder="1"/>
    <xf numFmtId="0" fontId="0" fillId="0" borderId="48" xfId="0" applyBorder="1" applyAlignment="1">
      <alignment horizontal="center" vertical="center"/>
    </xf>
    <xf numFmtId="0" fontId="0" fillId="0" borderId="49" xfId="0" applyBorder="1" applyAlignment="1">
      <alignment horizontal="center" vertical="center"/>
    </xf>
    <xf numFmtId="0" fontId="0" fillId="0" borderId="50" xfId="0" applyBorder="1"/>
    <xf numFmtId="0" fontId="0" fillId="0" borderId="51" xfId="0" applyBorder="1" applyAlignment="1">
      <alignment horizontal="center" vertical="center"/>
    </xf>
    <xf numFmtId="0" fontId="0" fillId="0" borderId="52" xfId="0" applyBorder="1" applyAlignment="1">
      <alignment horizontal="center" vertical="center"/>
    </xf>
    <xf numFmtId="0" fontId="0" fillId="0" borderId="53" xfId="0" applyBorder="1"/>
    <xf numFmtId="0" fontId="3" fillId="26" borderId="3" xfId="0" applyFont="1" applyFill="1" applyBorder="1"/>
    <xf numFmtId="0" fontId="3" fillId="23" borderId="12" xfId="0" applyFont="1" applyFill="1" applyBorder="1" applyAlignment="1">
      <alignment horizontal="center" vertical="center"/>
    </xf>
    <xf numFmtId="0" fontId="3" fillId="23" borderId="31" xfId="0" applyFont="1" applyFill="1" applyBorder="1" applyAlignment="1">
      <alignment horizontal="center" vertical="center"/>
    </xf>
    <xf numFmtId="14" fontId="0" fillId="0" borderId="0" xfId="0" applyNumberFormat="1"/>
    <xf numFmtId="0" fontId="21" fillId="26" borderId="2" xfId="0" applyFont="1" applyFill="1" applyBorder="1" applyAlignment="1">
      <alignment horizontal="center" vertical="center"/>
    </xf>
    <xf numFmtId="0" fontId="21" fillId="26" borderId="3" xfId="0" applyFont="1" applyFill="1" applyBorder="1" applyAlignment="1">
      <alignment horizontal="center" vertical="center"/>
    </xf>
    <xf numFmtId="0" fontId="21" fillId="26" borderId="4" xfId="0" applyFont="1" applyFill="1" applyBorder="1" applyAlignment="1">
      <alignment horizontal="center" vertical="center"/>
    </xf>
    <xf numFmtId="0" fontId="3" fillId="23" borderId="6" xfId="0" applyFont="1" applyFill="1" applyBorder="1" applyAlignment="1">
      <alignment horizontal="center" vertical="center" wrapText="1"/>
    </xf>
    <xf numFmtId="0" fontId="3" fillId="23" borderId="5" xfId="0" applyFont="1" applyFill="1" applyBorder="1" applyAlignment="1">
      <alignment horizontal="center" vertical="center" wrapText="1"/>
    </xf>
    <xf numFmtId="0" fontId="3" fillId="23" borderId="7" xfId="0" applyFont="1" applyFill="1" applyBorder="1" applyAlignment="1">
      <alignment horizontal="center" vertical="center" wrapText="1"/>
    </xf>
    <xf numFmtId="0" fontId="3" fillId="23" borderId="8" xfId="0" applyFont="1" applyFill="1" applyBorder="1" applyAlignment="1">
      <alignment horizontal="center" vertical="center" wrapText="1"/>
    </xf>
    <xf numFmtId="0" fontId="3" fillId="23" borderId="0" xfId="0" applyFont="1" applyFill="1" applyAlignment="1">
      <alignment horizontal="center" vertical="center" wrapText="1"/>
    </xf>
    <xf numFmtId="0" fontId="3" fillId="23" borderId="54" xfId="0" applyFont="1" applyFill="1" applyBorder="1" applyAlignment="1">
      <alignment horizontal="center" vertical="center" wrapText="1"/>
    </xf>
    <xf numFmtId="0" fontId="3" fillId="23" borderId="9" xfId="0" applyFont="1" applyFill="1" applyBorder="1" applyAlignment="1">
      <alignment horizontal="center" vertical="center" wrapText="1"/>
    </xf>
    <xf numFmtId="0" fontId="3" fillId="23" borderId="10" xfId="0" applyFont="1" applyFill="1" applyBorder="1" applyAlignment="1">
      <alignment horizontal="center" vertical="center" wrapText="1"/>
    </xf>
    <xf numFmtId="0" fontId="3" fillId="23" borderId="11" xfId="0" applyFont="1" applyFill="1" applyBorder="1" applyAlignment="1">
      <alignment horizontal="center" vertical="center" wrapText="1"/>
    </xf>
    <xf numFmtId="0" fontId="3" fillId="23" borderId="6" xfId="0" applyFont="1" applyFill="1" applyBorder="1" applyAlignment="1">
      <alignment horizontal="center" vertical="center"/>
    </xf>
    <xf numFmtId="0" fontId="3" fillId="23" borderId="5" xfId="0" applyFont="1" applyFill="1" applyBorder="1" applyAlignment="1">
      <alignment horizontal="center" vertical="center"/>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3" fillId="23" borderId="10" xfId="0" applyFont="1" applyFill="1" applyBorder="1" applyAlignment="1">
      <alignment horizontal="center" vertical="center"/>
    </xf>
    <xf numFmtId="0" fontId="3" fillId="23" borderId="11" xfId="0" applyFont="1" applyFill="1" applyBorder="1" applyAlignment="1">
      <alignment horizontal="center" vertical="center"/>
    </xf>
    <xf numFmtId="0" fontId="3" fillId="23" borderId="30" xfId="0" applyFont="1" applyFill="1" applyBorder="1" applyAlignment="1">
      <alignment horizontal="center" vertical="center"/>
    </xf>
    <xf numFmtId="0" fontId="3" fillId="23" borderId="32" xfId="0" applyFont="1" applyFill="1" applyBorder="1" applyAlignment="1">
      <alignment horizontal="center" vertical="center"/>
    </xf>
    <xf numFmtId="0" fontId="3" fillId="23" borderId="8" xfId="0" applyFont="1" applyFill="1" applyBorder="1" applyAlignment="1">
      <alignment horizontal="center" vertical="center"/>
    </xf>
    <xf numFmtId="0" fontId="3" fillId="23" borderId="0" xfId="0" applyFont="1" applyFill="1" applyAlignment="1">
      <alignment horizontal="center" vertical="center"/>
    </xf>
    <xf numFmtId="0" fontId="3" fillId="23" borderId="54" xfId="0" applyFont="1" applyFill="1" applyBorder="1" applyAlignment="1">
      <alignment horizontal="center" vertical="center"/>
    </xf>
    <xf numFmtId="0" fontId="0" fillId="0" borderId="0" xfId="0" applyAlignment="1">
      <alignment horizontal="center"/>
    </xf>
    <xf numFmtId="0" fontId="0" fillId="0" borderId="38" xfId="0" applyBorder="1" applyAlignment="1">
      <alignment horizontal="center" vertical="center"/>
    </xf>
    <xf numFmtId="0" fontId="0" fillId="0" borderId="40" xfId="0" applyBorder="1" applyAlignment="1">
      <alignment horizontal="center" vertical="center"/>
    </xf>
    <xf numFmtId="0" fontId="0" fillId="0" borderId="39"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5" fillId="3" borderId="3" xfId="0" applyFont="1" applyFill="1" applyBorder="1" applyAlignment="1">
      <alignment horizontal="center" vertical="center"/>
    </xf>
    <xf numFmtId="0" fontId="0" fillId="0" borderId="37"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5" xfId="0" applyFont="1"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0" borderId="18" xfId="0" applyBorder="1" applyAlignment="1">
      <alignment horizontal="center"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27" xfId="0" applyFon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27" xfId="0"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29" xfId="0" applyBorder="1" applyAlignment="1">
      <alignment horizontal="center" vertical="center"/>
    </xf>
    <xf numFmtId="0" fontId="0" fillId="2" borderId="8"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4" fillId="4" borderId="8" xfId="0" applyFont="1" applyFill="1" applyBorder="1" applyAlignment="1">
      <alignment horizontal="center" vertical="center"/>
    </xf>
    <xf numFmtId="0" fontId="4" fillId="4" borderId="0" xfId="0" applyFont="1" applyFill="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9" fillId="2" borderId="2" xfId="0" applyFont="1" applyFill="1" applyBorder="1" applyAlignment="1">
      <alignment horizontal="center"/>
    </xf>
    <xf numFmtId="0" fontId="9" fillId="2" borderId="3" xfId="0" applyFont="1" applyFill="1" applyBorder="1" applyAlignment="1">
      <alignment horizontal="center"/>
    </xf>
    <xf numFmtId="0" fontId="9" fillId="2" borderId="4" xfId="0" applyFont="1" applyFill="1" applyBorder="1" applyAlignment="1">
      <alignment horizontal="center"/>
    </xf>
    <xf numFmtId="0" fontId="6"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8" fillId="8" borderId="3" xfId="0" applyFont="1" applyFill="1" applyBorder="1" applyAlignment="1">
      <alignment horizontal="center" vertical="center"/>
    </xf>
    <xf numFmtId="0" fontId="8" fillId="8" borderId="4"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14" fillId="13" borderId="2" xfId="0" applyFont="1" applyFill="1" applyBorder="1" applyAlignment="1">
      <alignment horizontal="center"/>
    </xf>
    <xf numFmtId="0" fontId="14" fillId="13" borderId="3" xfId="0" applyFont="1" applyFill="1" applyBorder="1" applyAlignment="1">
      <alignment horizontal="center"/>
    </xf>
    <xf numFmtId="0" fontId="14" fillId="13" borderId="4" xfId="0" applyFont="1" applyFill="1" applyBorder="1" applyAlignment="1">
      <alignment horizontal="center"/>
    </xf>
    <xf numFmtId="0" fontId="14" fillId="23" borderId="2" xfId="0" applyFont="1" applyFill="1" applyBorder="1" applyAlignment="1">
      <alignment horizontal="center"/>
    </xf>
    <xf numFmtId="0" fontId="14" fillId="23" borderId="4" xfId="0" applyFont="1" applyFill="1" applyBorder="1" applyAlignment="1">
      <alignment horizontal="center"/>
    </xf>
    <xf numFmtId="0" fontId="18" fillId="10" borderId="2" xfId="0" applyFont="1" applyFill="1" applyBorder="1" applyAlignment="1">
      <alignment horizontal="center" vertical="center"/>
    </xf>
    <xf numFmtId="0" fontId="18" fillId="10" borderId="3" xfId="0" applyFont="1" applyFill="1" applyBorder="1" applyAlignment="1">
      <alignment horizontal="center" vertical="center"/>
    </xf>
    <xf numFmtId="0" fontId="18" fillId="10" borderId="4" xfId="0" applyFont="1" applyFill="1" applyBorder="1" applyAlignment="1">
      <alignment horizontal="center" vertical="center"/>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0" borderId="0" xfId="0" applyFont="1" applyAlignment="1">
      <alignment horizontal="center"/>
    </xf>
    <xf numFmtId="0" fontId="16" fillId="0" borderId="0" xfId="0" applyFont="1" applyAlignment="1">
      <alignment horizontal="center"/>
    </xf>
  </cellXfs>
  <cellStyles count="3">
    <cellStyle name="Currency" xfId="1" builtinId="4"/>
    <cellStyle name="Hyperlink" xfId="2" builtinId="8"/>
    <cellStyle name="Normal" xfId="0" builtinId="0"/>
  </cellStyles>
  <dxfs count="37">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5"/>
        </patternFill>
      </fill>
    </dxf>
    <dxf>
      <font>
        <color rgb="FF006100"/>
      </font>
      <fill>
        <patternFill>
          <bgColor rgb="FFC6EFCE"/>
        </patternFill>
      </fill>
    </dxf>
    <dxf>
      <font>
        <color rgb="FF006100"/>
      </font>
      <fill>
        <patternFill>
          <bgColor rgb="FFC6EFCE"/>
        </patternFill>
      </fill>
    </dxf>
    <dxf>
      <fill>
        <patternFill>
          <bgColor theme="5"/>
        </patternFill>
      </fill>
    </dxf>
    <dxf>
      <font>
        <color rgb="FF006100"/>
      </font>
      <fill>
        <patternFill>
          <bgColor rgb="FFC6EFCE"/>
        </patternFill>
      </fill>
    </dxf>
    <dxf>
      <fill>
        <patternFill>
          <bgColor theme="5"/>
        </patternFill>
      </fill>
    </dxf>
    <dxf>
      <font>
        <color rgb="FF006100"/>
      </font>
      <fill>
        <patternFill>
          <bgColor rgb="FFC6EFCE"/>
        </patternFill>
      </fill>
    </dxf>
    <dxf>
      <fill>
        <patternFill>
          <bgColor theme="5"/>
        </patternFill>
      </fill>
    </dxf>
    <dxf>
      <font>
        <color rgb="FF006100"/>
      </font>
      <fill>
        <patternFill>
          <bgColor rgb="FFC6EFCE"/>
        </patternFill>
      </fill>
    </dxf>
    <dxf>
      <fill>
        <patternFill>
          <bgColor theme="5"/>
        </patternFill>
      </fill>
    </dxf>
    <dxf>
      <fill>
        <patternFill>
          <bgColor theme="5"/>
        </patternFill>
      </fill>
    </dxf>
    <dxf>
      <font>
        <color rgb="FF006100"/>
      </font>
      <fill>
        <patternFill>
          <bgColor rgb="FFC6EFCE"/>
        </patternFill>
      </fill>
    </dxf>
    <dxf>
      <font>
        <color rgb="FF006100"/>
      </font>
      <fill>
        <patternFill>
          <bgColor rgb="FFC6EFCE"/>
        </patternFill>
      </fill>
    </dxf>
    <dxf>
      <fill>
        <patternFill>
          <bgColor theme="5"/>
        </patternFill>
      </fill>
    </dxf>
    <dxf>
      <fill>
        <patternFill>
          <bgColor theme="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2</xdr:row>
      <xdr:rowOff>0</xdr:rowOff>
    </xdr:from>
    <xdr:to>
      <xdr:col>29</xdr:col>
      <xdr:colOff>31810</xdr:colOff>
      <xdr:row>12</xdr:row>
      <xdr:rowOff>190500</xdr:rowOff>
    </xdr:to>
    <xdr:pic>
      <xdr:nvPicPr>
        <xdr:cNvPr id="2" name="Picture 1">
          <a:extLst>
            <a:ext uri="{FF2B5EF4-FFF2-40B4-BE49-F238E27FC236}">
              <a16:creationId xmlns:a16="http://schemas.microsoft.com/office/drawing/2014/main" id="{6F7AA4F0-3739-F115-A16B-17B260086228}"/>
            </a:ext>
          </a:extLst>
        </xdr:cNvPr>
        <xdr:cNvPicPr>
          <a:picLocks noChangeAspect="1"/>
        </xdr:cNvPicPr>
      </xdr:nvPicPr>
      <xdr:blipFill>
        <a:blip xmlns:r="http://schemas.openxmlformats.org/officeDocument/2006/relationships" r:embed="rId1"/>
        <a:stretch>
          <a:fillRect/>
        </a:stretch>
      </xdr:blipFill>
      <xdr:spPr>
        <a:xfrm>
          <a:off x="10028464" y="381000"/>
          <a:ext cx="9216632" cy="372835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b:/r/personal/bclymer_alleatogroup_com/Documents/Alleato%20Group/2024%20Jobs/24-115%20Westfield%20Collective%20(Westfield,%20IN)/00%20-%20Owner/Utility%20Applications/Submitted%20Centerpoint%20Energy%20(Gas)%20-%20New%20Service%20App.pdf?csf=1&amp;web=1&amp;e=gwhnnE"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bob@northindyfence.com" TargetMode="External"/><Relationship Id="rId13" Type="http://schemas.openxmlformats.org/officeDocument/2006/relationships/hyperlink" Target="mailto:boyera@cih-inc.com" TargetMode="External"/><Relationship Id="rId18" Type="http://schemas.openxmlformats.org/officeDocument/2006/relationships/hyperlink" Target="mailto:brhoades@deemfirst.com" TargetMode="External"/><Relationship Id="rId3" Type="http://schemas.openxmlformats.org/officeDocument/2006/relationships/hyperlink" Target="mailto:ctragesser@alleatogroup.com" TargetMode="External"/><Relationship Id="rId21" Type="http://schemas.openxmlformats.org/officeDocument/2006/relationships/hyperlink" Target="mailto:tims@truestepllc.com" TargetMode="External"/><Relationship Id="rId7" Type="http://schemas.openxmlformats.org/officeDocument/2006/relationships/hyperlink" Target="mailto:dstewart@fgschaefer.com" TargetMode="External"/><Relationship Id="rId12" Type="http://schemas.openxmlformats.org/officeDocument/2006/relationships/hyperlink" Target="mailto:ctragesser@alleatogroup.com" TargetMode="External"/><Relationship Id="rId17" Type="http://schemas.openxmlformats.org/officeDocument/2006/relationships/hyperlink" Target="mailto:BrianJ@indysuperior.com" TargetMode="External"/><Relationship Id="rId2" Type="http://schemas.openxmlformats.org/officeDocument/2006/relationships/hyperlink" Target="mailto:driscoll@diamondglassworks.net" TargetMode="External"/><Relationship Id="rId16" Type="http://schemas.openxmlformats.org/officeDocument/2006/relationships/hyperlink" Target="mailto:BrianJ@indysuperior.com" TargetMode="External"/><Relationship Id="rId20" Type="http://schemas.openxmlformats.org/officeDocument/2006/relationships/hyperlink" Target="mailto:Dbiddle@ProDoorSystems.com" TargetMode="External"/><Relationship Id="rId1" Type="http://schemas.openxmlformats.org/officeDocument/2006/relationships/hyperlink" Target="mailto:driscoll@diamondglassworks.net" TargetMode="External"/><Relationship Id="rId6" Type="http://schemas.openxmlformats.org/officeDocument/2006/relationships/hyperlink" Target="mailto:Tom@justindorseyplumbing.com" TargetMode="External"/><Relationship Id="rId11" Type="http://schemas.openxmlformats.org/officeDocument/2006/relationships/hyperlink" Target="mailto:erikaf@fitellc.com" TargetMode="External"/><Relationship Id="rId24" Type="http://schemas.openxmlformats.org/officeDocument/2006/relationships/hyperlink" Target="mailto:husbandv@cih-inc.com" TargetMode="External"/><Relationship Id="rId5" Type="http://schemas.openxmlformats.org/officeDocument/2006/relationships/hyperlink" Target="mailto:brhoades@deemfirst.com" TargetMode="External"/><Relationship Id="rId15" Type="http://schemas.openxmlformats.org/officeDocument/2006/relationships/hyperlink" Target="mailto:BrianJ@indysuperior.com" TargetMode="External"/><Relationship Id="rId23" Type="http://schemas.openxmlformats.org/officeDocument/2006/relationships/hyperlink" Target="mailto:husbandv@cih-inc.com" TargetMode="External"/><Relationship Id="rId10" Type="http://schemas.openxmlformats.org/officeDocument/2006/relationships/hyperlink" Target="mailto:jrchristoff@yahoo.com" TargetMode="External"/><Relationship Id="rId19" Type="http://schemas.openxmlformats.org/officeDocument/2006/relationships/hyperlink" Target="mailto:jrchristoff@yahoo.com" TargetMode="External"/><Relationship Id="rId4" Type="http://schemas.openxmlformats.org/officeDocument/2006/relationships/hyperlink" Target="mailto:Dbiddle@ProDoorSystems.com" TargetMode="External"/><Relationship Id="rId9" Type="http://schemas.openxmlformats.org/officeDocument/2006/relationships/hyperlink" Target="mailto:bob@northindyfence.com" TargetMode="External"/><Relationship Id="rId14" Type="http://schemas.openxmlformats.org/officeDocument/2006/relationships/hyperlink" Target="mailto:BrianJ@indysuperior.com" TargetMode="External"/><Relationship Id="rId22" Type="http://schemas.openxmlformats.org/officeDocument/2006/relationships/hyperlink" Target="mailto:boyera@cih-in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009DB-E326-4B56-83C3-A153C7331A6A}">
  <sheetPr>
    <tabColor theme="4" tint="0.79998168889431442"/>
  </sheetPr>
  <dimension ref="A1:L59"/>
  <sheetViews>
    <sheetView showGridLines="0" zoomScale="85" zoomScaleNormal="85" workbookViewId="0">
      <selection activeCell="Q62" sqref="Q62"/>
    </sheetView>
  </sheetViews>
  <sheetFormatPr defaultRowHeight="14.4" x14ac:dyDescent="0.3"/>
  <cols>
    <col min="3" max="3" width="11.88671875" customWidth="1"/>
    <col min="4" max="4" width="15.109375" customWidth="1"/>
    <col min="5" max="5" width="15.6640625" customWidth="1"/>
    <col min="6" max="6" width="18.88671875" customWidth="1"/>
    <col min="7" max="7" width="46.88671875" bestFit="1" customWidth="1"/>
  </cols>
  <sheetData>
    <row r="1" spans="3:7" ht="3.75" customHeight="1" x14ac:dyDescent="0.3">
      <c r="G1" s="202" t="s">
        <v>0</v>
      </c>
    </row>
    <row r="2" spans="3:7" ht="15" thickBot="1" x14ac:dyDescent="0.35"/>
    <row r="3" spans="3:7" ht="25.5" customHeight="1" thickBot="1" x14ac:dyDescent="0.35">
      <c r="C3" s="227" t="s">
        <v>1</v>
      </c>
      <c r="D3" s="228" t="s">
        <v>2</v>
      </c>
      <c r="E3" s="228" t="s">
        <v>3</v>
      </c>
      <c r="F3" s="229" t="s">
        <v>4</v>
      </c>
      <c r="G3" s="230" t="s">
        <v>0</v>
      </c>
    </row>
    <row r="4" spans="3:7" ht="21.75" customHeight="1" x14ac:dyDescent="0.3">
      <c r="C4" s="223" t="s">
        <v>5</v>
      </c>
      <c r="D4" s="203" t="s">
        <v>6</v>
      </c>
      <c r="E4" s="204" t="s">
        <v>6</v>
      </c>
      <c r="F4" s="218"/>
      <c r="G4" s="220"/>
    </row>
    <row r="5" spans="3:7" ht="21.75" customHeight="1" x14ac:dyDescent="0.3">
      <c r="C5" s="224" t="s">
        <v>7</v>
      </c>
      <c r="D5" s="6" t="s">
        <v>8</v>
      </c>
      <c r="E5" s="5" t="s">
        <v>8</v>
      </c>
      <c r="F5" s="41"/>
      <c r="G5" s="221"/>
    </row>
    <row r="6" spans="3:7" ht="21.75" customHeight="1" x14ac:dyDescent="0.3">
      <c r="C6" s="224" t="s">
        <v>9</v>
      </c>
      <c r="D6" s="6" t="s">
        <v>6</v>
      </c>
      <c r="E6" s="5" t="s">
        <v>6</v>
      </c>
      <c r="F6" s="41"/>
      <c r="G6" s="221"/>
    </row>
    <row r="7" spans="3:7" ht="21.75" customHeight="1" x14ac:dyDescent="0.3">
      <c r="C7" s="224">
        <v>102</v>
      </c>
      <c r="D7" s="6" t="s">
        <v>6</v>
      </c>
      <c r="E7" s="5" t="s">
        <v>6</v>
      </c>
      <c r="F7" s="41"/>
      <c r="G7" s="221"/>
    </row>
    <row r="8" spans="3:7" ht="21.75" customHeight="1" thickBot="1" x14ac:dyDescent="0.35">
      <c r="C8" s="224">
        <v>104</v>
      </c>
      <c r="D8" s="6" t="s">
        <v>6</v>
      </c>
      <c r="E8" s="5" t="s">
        <v>6</v>
      </c>
      <c r="F8" s="41"/>
      <c r="G8" s="221"/>
    </row>
    <row r="9" spans="3:7" ht="21.75" customHeight="1" x14ac:dyDescent="0.3">
      <c r="C9" s="224">
        <v>105</v>
      </c>
      <c r="D9" s="6" t="s">
        <v>6</v>
      </c>
      <c r="E9" s="5" t="s">
        <v>6</v>
      </c>
      <c r="F9" s="41"/>
      <c r="G9" s="221"/>
    </row>
    <row r="10" spans="3:7" ht="21.75" customHeight="1" x14ac:dyDescent="0.3">
      <c r="C10" s="224">
        <v>106</v>
      </c>
      <c r="D10" s="6" t="s">
        <v>6</v>
      </c>
      <c r="E10" s="5" t="s">
        <v>6</v>
      </c>
      <c r="F10" s="41"/>
      <c r="G10" s="221"/>
    </row>
    <row r="11" spans="3:7" ht="21.75" customHeight="1" x14ac:dyDescent="0.3">
      <c r="C11" s="224">
        <v>107</v>
      </c>
      <c r="D11" s="6" t="s">
        <v>6</v>
      </c>
      <c r="E11" s="5" t="s">
        <v>6</v>
      </c>
      <c r="F11" s="41"/>
      <c r="G11" s="221"/>
    </row>
    <row r="12" spans="3:7" ht="21.75" customHeight="1" x14ac:dyDescent="0.3">
      <c r="C12" s="224">
        <v>108</v>
      </c>
      <c r="D12" s="6" t="s">
        <v>10</v>
      </c>
      <c r="E12" s="5" t="s">
        <v>6</v>
      </c>
      <c r="F12" s="41"/>
      <c r="G12" s="221"/>
    </row>
    <row r="13" spans="3:7" ht="21.75" customHeight="1" x14ac:dyDescent="0.3">
      <c r="C13" s="224">
        <v>111</v>
      </c>
      <c r="D13" s="6" t="s">
        <v>6</v>
      </c>
      <c r="E13" s="5"/>
      <c r="F13" s="41"/>
      <c r="G13" s="221"/>
    </row>
    <row r="14" spans="3:7" ht="21.75" customHeight="1" x14ac:dyDescent="0.3">
      <c r="C14" s="224" t="s">
        <v>11</v>
      </c>
      <c r="D14" s="6" t="s">
        <v>10</v>
      </c>
      <c r="E14" s="5" t="s">
        <v>10</v>
      </c>
      <c r="F14" s="41"/>
      <c r="G14" s="221"/>
    </row>
    <row r="15" spans="3:7" ht="21.75" customHeight="1" x14ac:dyDescent="0.3">
      <c r="C15" s="224">
        <v>112</v>
      </c>
      <c r="D15" s="6" t="s">
        <v>6</v>
      </c>
      <c r="E15" s="5" t="s">
        <v>8</v>
      </c>
      <c r="F15" s="41"/>
      <c r="G15" s="221" t="s">
        <v>642</v>
      </c>
    </row>
    <row r="16" spans="3:7" ht="21.75" customHeight="1" x14ac:dyDescent="0.3">
      <c r="C16" s="224">
        <v>113</v>
      </c>
      <c r="D16" s="262" t="s">
        <v>12</v>
      </c>
      <c r="E16" s="263"/>
      <c r="F16" s="263"/>
      <c r="G16" s="264"/>
    </row>
    <row r="17" spans="3:12" ht="21.75" customHeight="1" x14ac:dyDescent="0.3">
      <c r="C17" s="224">
        <v>114</v>
      </c>
      <c r="D17" s="262"/>
      <c r="E17" s="263"/>
      <c r="F17" s="263"/>
      <c r="G17" s="264"/>
    </row>
    <row r="18" spans="3:12" ht="21.75" customHeight="1" x14ac:dyDescent="0.3">
      <c r="C18" s="224">
        <v>115</v>
      </c>
      <c r="D18" s="262"/>
      <c r="E18" s="263"/>
      <c r="F18" s="263"/>
      <c r="G18" s="264"/>
    </row>
    <row r="19" spans="3:12" ht="21.75" customHeight="1" x14ac:dyDescent="0.3">
      <c r="C19" s="224">
        <v>116</v>
      </c>
      <c r="D19" s="262"/>
      <c r="E19" s="263"/>
      <c r="F19" s="263"/>
      <c r="G19" s="264"/>
    </row>
    <row r="20" spans="3:12" ht="21.75" customHeight="1" x14ac:dyDescent="0.3">
      <c r="C20" s="224">
        <v>117</v>
      </c>
      <c r="D20" s="262"/>
      <c r="E20" s="263"/>
      <c r="F20" s="263"/>
      <c r="G20" s="264"/>
    </row>
    <row r="21" spans="3:12" ht="21.75" customHeight="1" x14ac:dyDescent="0.3">
      <c r="C21" s="224" t="s">
        <v>13</v>
      </c>
      <c r="D21" s="6" t="s">
        <v>6</v>
      </c>
      <c r="E21" s="5" t="s">
        <v>6</v>
      </c>
      <c r="F21" s="41"/>
      <c r="G21" s="221"/>
    </row>
    <row r="22" spans="3:12" ht="21.75" customHeight="1" x14ac:dyDescent="0.3">
      <c r="C22" s="224" t="s">
        <v>14</v>
      </c>
      <c r="D22" s="6" t="s">
        <v>6</v>
      </c>
      <c r="E22" s="5" t="s">
        <v>6</v>
      </c>
      <c r="F22" s="41"/>
      <c r="G22" s="221"/>
    </row>
    <row r="23" spans="3:12" ht="21.75" customHeight="1" x14ac:dyDescent="0.3">
      <c r="C23" s="224">
        <v>121</v>
      </c>
      <c r="D23" s="6" t="s">
        <v>6</v>
      </c>
      <c r="E23" s="5" t="s">
        <v>6</v>
      </c>
      <c r="F23" s="41"/>
      <c r="G23" s="221"/>
    </row>
    <row r="24" spans="3:12" ht="21.75" customHeight="1" thickBot="1" x14ac:dyDescent="0.35">
      <c r="C24" s="224">
        <v>122</v>
      </c>
      <c r="D24" s="6" t="s">
        <v>6</v>
      </c>
      <c r="E24" s="5" t="s">
        <v>6</v>
      </c>
      <c r="F24" s="41"/>
      <c r="G24" s="221"/>
    </row>
    <row r="25" spans="3:12" ht="21.75" customHeight="1" thickBot="1" x14ac:dyDescent="0.35">
      <c r="C25" s="224">
        <v>123</v>
      </c>
      <c r="D25" s="6" t="s">
        <v>15</v>
      </c>
      <c r="E25" s="5"/>
      <c r="F25" s="41"/>
      <c r="G25" s="219" t="s">
        <v>16</v>
      </c>
      <c r="H25" s="245" t="s">
        <v>17</v>
      </c>
      <c r="I25" s="246"/>
      <c r="J25" s="246"/>
      <c r="K25" s="246"/>
      <c r="L25" s="247"/>
    </row>
    <row r="26" spans="3:12" ht="21.75" customHeight="1" x14ac:dyDescent="0.3">
      <c r="C26" s="224" t="s">
        <v>18</v>
      </c>
      <c r="D26" s="6" t="s">
        <v>15</v>
      </c>
      <c r="E26" s="5"/>
      <c r="F26" s="41"/>
      <c r="G26" s="221"/>
      <c r="H26" s="248"/>
      <c r="I26" s="249"/>
      <c r="J26" s="249"/>
      <c r="K26" s="249"/>
      <c r="L26" s="250"/>
    </row>
    <row r="27" spans="3:12" ht="21.75" customHeight="1" thickBot="1" x14ac:dyDescent="0.35">
      <c r="C27" s="224" t="s">
        <v>19</v>
      </c>
      <c r="D27" s="6" t="s">
        <v>15</v>
      </c>
      <c r="E27" s="5"/>
      <c r="F27" s="41"/>
      <c r="G27" s="221"/>
      <c r="H27" s="251"/>
      <c r="I27" s="252"/>
      <c r="J27" s="252"/>
      <c r="K27" s="252"/>
      <c r="L27" s="253"/>
    </row>
    <row r="28" spans="3:12" ht="21.75" customHeight="1" thickBot="1" x14ac:dyDescent="0.35">
      <c r="C28" s="224" t="s">
        <v>20</v>
      </c>
      <c r="D28" s="6" t="s">
        <v>15</v>
      </c>
      <c r="E28" s="5"/>
      <c r="F28" s="41"/>
      <c r="G28" s="221"/>
    </row>
    <row r="29" spans="3:12" ht="21.75" customHeight="1" thickBot="1" x14ac:dyDescent="0.35">
      <c r="C29" s="224" t="s">
        <v>21</v>
      </c>
      <c r="D29" s="6" t="s">
        <v>6</v>
      </c>
      <c r="E29" s="5" t="s">
        <v>6</v>
      </c>
      <c r="F29" s="41"/>
      <c r="G29" s="219" t="s">
        <v>22</v>
      </c>
    </row>
    <row r="30" spans="3:12" ht="21.75" customHeight="1" x14ac:dyDescent="0.3">
      <c r="C30" s="224">
        <v>126</v>
      </c>
      <c r="D30" s="239" t="s">
        <v>23</v>
      </c>
      <c r="E30" s="5" t="s">
        <v>6</v>
      </c>
      <c r="F30" s="41"/>
      <c r="G30" s="260" t="s">
        <v>24</v>
      </c>
      <c r="H30" s="254" t="s">
        <v>25</v>
      </c>
      <c r="I30" s="255"/>
      <c r="J30" s="255"/>
      <c r="K30" s="255"/>
      <c r="L30" s="256"/>
    </row>
    <row r="31" spans="3:12" ht="21.75" customHeight="1" thickBot="1" x14ac:dyDescent="0.35">
      <c r="C31" s="224">
        <v>127</v>
      </c>
      <c r="D31" s="239" t="s">
        <v>23</v>
      </c>
      <c r="E31" s="5" t="s">
        <v>6</v>
      </c>
      <c r="F31" s="41"/>
      <c r="G31" s="261"/>
      <c r="H31" s="257"/>
      <c r="I31" s="258"/>
      <c r="J31" s="258"/>
      <c r="K31" s="258"/>
      <c r="L31" s="259"/>
    </row>
    <row r="32" spans="3:12" ht="21.75" customHeight="1" x14ac:dyDescent="0.3">
      <c r="C32" s="224" t="s">
        <v>26</v>
      </c>
      <c r="D32" s="6" t="s">
        <v>6</v>
      </c>
      <c r="E32" s="5" t="s">
        <v>6</v>
      </c>
      <c r="F32" s="41"/>
      <c r="G32" s="221"/>
    </row>
    <row r="33" spans="1:7" ht="21.75" customHeight="1" x14ac:dyDescent="0.3">
      <c r="C33" s="224" t="s">
        <v>27</v>
      </c>
      <c r="D33" s="6" t="s">
        <v>6</v>
      </c>
      <c r="E33" s="5" t="s">
        <v>6</v>
      </c>
      <c r="F33" s="41"/>
      <c r="G33" s="221"/>
    </row>
    <row r="34" spans="1:7" ht="21.75" customHeight="1" x14ac:dyDescent="0.3">
      <c r="C34" s="224" t="s">
        <v>28</v>
      </c>
      <c r="D34" s="6" t="s">
        <v>6</v>
      </c>
      <c r="E34" s="5" t="s">
        <v>6</v>
      </c>
      <c r="F34" s="41"/>
      <c r="G34" s="221"/>
    </row>
    <row r="35" spans="1:7" ht="21.75" customHeight="1" x14ac:dyDescent="0.3">
      <c r="C35" s="224" t="s">
        <v>29</v>
      </c>
      <c r="D35" s="6" t="s">
        <v>6</v>
      </c>
      <c r="E35" s="5" t="s">
        <v>6</v>
      </c>
      <c r="F35" s="41"/>
      <c r="G35" s="221"/>
    </row>
    <row r="36" spans="1:7" ht="21.75" customHeight="1" x14ac:dyDescent="0.3">
      <c r="C36" s="224" t="s">
        <v>30</v>
      </c>
      <c r="D36" s="6" t="s">
        <v>10</v>
      </c>
      <c r="E36" s="5" t="s">
        <v>10</v>
      </c>
      <c r="F36" s="41"/>
      <c r="G36" s="221"/>
    </row>
    <row r="37" spans="1:7" ht="21.75" customHeight="1" x14ac:dyDescent="0.3">
      <c r="C37" s="224" t="s">
        <v>31</v>
      </c>
      <c r="D37" s="6" t="s">
        <v>10</v>
      </c>
      <c r="E37" s="5" t="s">
        <v>10</v>
      </c>
      <c r="F37" s="41"/>
      <c r="G37" s="221"/>
    </row>
    <row r="38" spans="1:7" ht="21.75" customHeight="1" x14ac:dyDescent="0.3">
      <c r="C38" s="224" t="s">
        <v>32</v>
      </c>
      <c r="D38" s="6" t="s">
        <v>10</v>
      </c>
      <c r="E38" s="5" t="s">
        <v>6</v>
      </c>
      <c r="F38" s="41"/>
      <c r="G38" s="221"/>
    </row>
    <row r="39" spans="1:7" ht="21.75" customHeight="1" x14ac:dyDescent="0.3">
      <c r="C39" s="224" t="s">
        <v>33</v>
      </c>
      <c r="D39" s="6" t="s">
        <v>10</v>
      </c>
      <c r="E39" s="5" t="s">
        <v>6</v>
      </c>
      <c r="F39" s="41"/>
      <c r="G39" s="221"/>
    </row>
    <row r="40" spans="1:7" ht="21.75" customHeight="1" x14ac:dyDescent="0.3">
      <c r="C40" s="224" t="s">
        <v>34</v>
      </c>
      <c r="D40" s="6" t="s">
        <v>10</v>
      </c>
      <c r="E40" s="5" t="s">
        <v>10</v>
      </c>
      <c r="F40" s="41"/>
      <c r="G40" s="221"/>
    </row>
    <row r="41" spans="1:7" ht="21.75" customHeight="1" x14ac:dyDescent="0.3">
      <c r="C41" s="224" t="s">
        <v>35</v>
      </c>
      <c r="D41" s="6" t="s">
        <v>10</v>
      </c>
      <c r="E41" s="5" t="s">
        <v>10</v>
      </c>
      <c r="F41" s="41"/>
      <c r="G41" s="221"/>
    </row>
    <row r="42" spans="1:7" ht="21.75" customHeight="1" thickBot="1" x14ac:dyDescent="0.35">
      <c r="C42" s="225" t="s">
        <v>36</v>
      </c>
      <c r="D42" s="232" t="s">
        <v>10</v>
      </c>
      <c r="E42" s="233" t="s">
        <v>10</v>
      </c>
      <c r="F42" s="234"/>
      <c r="G42" s="221"/>
    </row>
    <row r="43" spans="1:7" ht="18.600000000000001" thickBot="1" x14ac:dyDescent="0.35">
      <c r="A43" s="231"/>
      <c r="B43" s="238"/>
      <c r="C43" s="242" t="s">
        <v>37</v>
      </c>
      <c r="D43" s="243"/>
      <c r="E43" s="243"/>
      <c r="F43" s="244"/>
      <c r="G43" s="231"/>
    </row>
    <row r="44" spans="1:7" ht="21.75" customHeight="1" x14ac:dyDescent="0.3">
      <c r="C44" s="223" t="s">
        <v>38</v>
      </c>
      <c r="D44" s="235" t="s">
        <v>10</v>
      </c>
      <c r="E44" s="236" t="s">
        <v>6</v>
      </c>
      <c r="F44" s="237"/>
      <c r="G44" s="221"/>
    </row>
    <row r="45" spans="1:7" ht="21.75" customHeight="1" x14ac:dyDescent="0.3">
      <c r="C45" s="224" t="s">
        <v>39</v>
      </c>
      <c r="D45" s="6" t="s">
        <v>10</v>
      </c>
      <c r="E45" s="5" t="s">
        <v>6</v>
      </c>
      <c r="F45" s="41"/>
      <c r="G45" s="221"/>
    </row>
    <row r="46" spans="1:7" ht="21.75" customHeight="1" x14ac:dyDescent="0.3">
      <c r="C46" s="224" t="s">
        <v>40</v>
      </c>
      <c r="D46" s="6" t="s">
        <v>10</v>
      </c>
      <c r="E46" s="5" t="s">
        <v>6</v>
      </c>
      <c r="F46" s="41"/>
      <c r="G46" s="221"/>
    </row>
    <row r="47" spans="1:7" ht="21.75" customHeight="1" x14ac:dyDescent="0.3">
      <c r="C47" s="224">
        <v>202</v>
      </c>
      <c r="D47" s="6" t="s">
        <v>6</v>
      </c>
      <c r="E47" s="5" t="s">
        <v>6</v>
      </c>
      <c r="F47" s="41"/>
      <c r="G47" s="221"/>
    </row>
    <row r="48" spans="1:7" ht="21.75" customHeight="1" x14ac:dyDescent="0.3">
      <c r="C48" s="224">
        <v>203</v>
      </c>
      <c r="D48" s="6" t="s">
        <v>6</v>
      </c>
      <c r="E48" s="5" t="s">
        <v>6</v>
      </c>
      <c r="F48" s="41"/>
      <c r="G48" s="221"/>
    </row>
    <row r="49" spans="3:7" ht="21.75" customHeight="1" x14ac:dyDescent="0.3">
      <c r="C49" s="224">
        <v>204</v>
      </c>
      <c r="D49" s="6" t="s">
        <v>6</v>
      </c>
      <c r="E49" s="5" t="s">
        <v>6</v>
      </c>
      <c r="F49" s="41"/>
      <c r="G49" s="221"/>
    </row>
    <row r="50" spans="3:7" ht="21.75" customHeight="1" x14ac:dyDescent="0.3">
      <c r="C50" s="224">
        <v>205</v>
      </c>
      <c r="D50" s="6" t="s">
        <v>6</v>
      </c>
      <c r="E50" s="5" t="s">
        <v>6</v>
      </c>
      <c r="F50" s="41"/>
      <c r="G50" s="221"/>
    </row>
    <row r="51" spans="3:7" ht="21.75" customHeight="1" x14ac:dyDescent="0.3">
      <c r="C51" s="224">
        <v>206</v>
      </c>
      <c r="D51" s="6" t="s">
        <v>6</v>
      </c>
      <c r="E51" s="5" t="s">
        <v>6</v>
      </c>
      <c r="F51" s="41"/>
      <c r="G51" s="221"/>
    </row>
    <row r="52" spans="3:7" ht="21.75" customHeight="1" x14ac:dyDescent="0.3">
      <c r="C52" s="224">
        <v>207</v>
      </c>
      <c r="D52" s="6" t="s">
        <v>6</v>
      </c>
      <c r="E52" s="5" t="s">
        <v>6</v>
      </c>
      <c r="F52" s="41"/>
      <c r="G52" s="221"/>
    </row>
    <row r="53" spans="3:7" ht="21.75" customHeight="1" x14ac:dyDescent="0.3">
      <c r="C53" s="224">
        <v>208</v>
      </c>
      <c r="D53" s="6" t="s">
        <v>6</v>
      </c>
      <c r="E53" s="5" t="s">
        <v>6</v>
      </c>
      <c r="F53" s="41"/>
      <c r="G53" s="221"/>
    </row>
    <row r="54" spans="3:7" ht="21.75" customHeight="1" thickBot="1" x14ac:dyDescent="0.35">
      <c r="C54" s="224">
        <v>210</v>
      </c>
      <c r="D54" s="6" t="s">
        <v>6</v>
      </c>
      <c r="E54" s="5" t="s">
        <v>6</v>
      </c>
      <c r="F54" s="41"/>
      <c r="G54" s="221"/>
    </row>
    <row r="55" spans="3:7" ht="21.75" customHeight="1" thickBot="1" x14ac:dyDescent="0.35">
      <c r="C55" s="224">
        <v>213</v>
      </c>
      <c r="D55" s="6" t="s">
        <v>6</v>
      </c>
      <c r="E55" s="5" t="s">
        <v>6</v>
      </c>
      <c r="F55" s="41"/>
      <c r="G55" s="219" t="s">
        <v>41</v>
      </c>
    </row>
    <row r="56" spans="3:7" ht="21.75" customHeight="1" x14ac:dyDescent="0.3">
      <c r="C56" s="224">
        <v>214</v>
      </c>
      <c r="D56" s="6" t="s">
        <v>6</v>
      </c>
      <c r="E56" s="5" t="s">
        <v>6</v>
      </c>
      <c r="F56" s="41"/>
      <c r="G56" s="240" t="s">
        <v>643</v>
      </c>
    </row>
    <row r="57" spans="3:7" ht="21.75" customHeight="1" x14ac:dyDescent="0.3">
      <c r="C57" s="224" t="s">
        <v>42</v>
      </c>
      <c r="D57" s="6" t="s">
        <v>10</v>
      </c>
      <c r="E57" s="5" t="s">
        <v>10</v>
      </c>
      <c r="F57" s="41"/>
      <c r="G57" s="221"/>
    </row>
    <row r="58" spans="3:7" ht="21.75" customHeight="1" thickBot="1" x14ac:dyDescent="0.35">
      <c r="C58" s="226" t="s">
        <v>43</v>
      </c>
      <c r="D58" s="7" t="s">
        <v>10</v>
      </c>
      <c r="E58" s="8" t="s">
        <v>10</v>
      </c>
      <c r="F58" s="58"/>
      <c r="G58" s="222"/>
    </row>
    <row r="59" spans="3:7" ht="21.75" customHeight="1" x14ac:dyDescent="0.3"/>
  </sheetData>
  <mergeCells count="5">
    <mergeCell ref="C43:F43"/>
    <mergeCell ref="H25:L27"/>
    <mergeCell ref="H30:L31"/>
    <mergeCell ref="G30:G31"/>
    <mergeCell ref="D16:G20"/>
  </mergeCells>
  <conditionalFormatting sqref="D4:F15 D21:F42 D44:F58">
    <cfRule type="containsText" dxfId="36" priority="1" operator="containsText" text="no">
      <formula>NOT(ISERROR(SEARCH("no",D4)))</formula>
    </cfRule>
    <cfRule type="containsText" dxfId="35" priority="2" operator="containsText" text="N0">
      <formula>NOT(ISERROR(SEARCH("N0",D4)))</formula>
    </cfRule>
    <cfRule type="containsText" dxfId="34" priority="3" operator="containsText" text="Yes">
      <formula>NOT(ISERROR(SEARCH("Yes",D4)))</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EC4A-30C6-466F-80B5-E5088BFA25A8}">
  <dimension ref="B1:D4"/>
  <sheetViews>
    <sheetView workbookViewId="0">
      <selection activeCell="B4" sqref="B4"/>
    </sheetView>
  </sheetViews>
  <sheetFormatPr defaultRowHeight="14.4" x14ac:dyDescent="0.3"/>
  <cols>
    <col min="2" max="2" width="34.44140625" bestFit="1" customWidth="1"/>
    <col min="3" max="3" width="30.88671875" customWidth="1"/>
    <col min="4" max="4" width="19.77734375" bestFit="1" customWidth="1"/>
  </cols>
  <sheetData>
    <row r="1" spans="2:4" x14ac:dyDescent="0.3">
      <c r="B1" t="s">
        <v>647</v>
      </c>
    </row>
    <row r="2" spans="2:4" x14ac:dyDescent="0.3">
      <c r="B2" t="s">
        <v>645</v>
      </c>
      <c r="C2" t="s">
        <v>644</v>
      </c>
      <c r="D2" t="s">
        <v>646</v>
      </c>
    </row>
    <row r="3" spans="2:4" x14ac:dyDescent="0.3">
      <c r="B3" t="s">
        <v>649</v>
      </c>
      <c r="C3" t="s">
        <v>648</v>
      </c>
      <c r="D3" s="241">
        <v>46029</v>
      </c>
    </row>
    <row r="4" spans="2:4" x14ac:dyDescent="0.3">
      <c r="B4" t="s">
        <v>650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0426B-C2B8-48C7-B7FD-A05A0D925E9B}">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37A3A-EEB9-467B-916C-970CA1F3BC88}">
  <sheetPr>
    <tabColor theme="9"/>
  </sheetPr>
  <dimension ref="C3:Y37"/>
  <sheetViews>
    <sheetView showGridLines="0" topLeftCell="A20" zoomScale="115" zoomScaleNormal="115" workbookViewId="0">
      <selection activeCell="M36" sqref="M36"/>
    </sheetView>
  </sheetViews>
  <sheetFormatPr defaultRowHeight="14.4" x14ac:dyDescent="0.3"/>
  <cols>
    <col min="3" max="3" width="17.88671875" bestFit="1" customWidth="1"/>
    <col min="4" max="5" width="15" customWidth="1"/>
    <col min="12" max="12" width="1.33203125" customWidth="1"/>
    <col min="13" max="13" width="18.44140625" customWidth="1"/>
  </cols>
  <sheetData>
    <row r="3" spans="3:25" ht="39" customHeight="1" x14ac:dyDescent="0.3">
      <c r="C3" s="304" t="s">
        <v>44</v>
      </c>
      <c r="D3" s="305"/>
      <c r="E3" s="305"/>
      <c r="F3" s="305"/>
      <c r="G3" s="305"/>
      <c r="H3" s="305"/>
      <c r="I3" s="305"/>
      <c r="J3" s="305"/>
      <c r="K3" s="305"/>
      <c r="L3" s="305"/>
      <c r="M3" s="305"/>
      <c r="O3" s="265"/>
      <c r="P3" s="265"/>
      <c r="Q3" s="265"/>
      <c r="R3" s="265"/>
      <c r="S3" s="265"/>
      <c r="T3" s="265"/>
      <c r="U3" s="265"/>
      <c r="V3" s="265"/>
      <c r="W3" s="265"/>
      <c r="X3" s="265"/>
      <c r="Y3" s="265"/>
    </row>
    <row r="4" spans="3:25" ht="30" customHeight="1" thickBot="1" x14ac:dyDescent="0.35">
      <c r="C4" s="286" t="s">
        <v>45</v>
      </c>
      <c r="D4" s="287"/>
      <c r="E4" s="287"/>
      <c r="F4" s="287"/>
      <c r="G4" s="287"/>
      <c r="H4" s="287"/>
      <c r="I4" s="287"/>
      <c r="J4" s="287"/>
      <c r="K4" s="287"/>
      <c r="L4" s="287"/>
      <c r="M4" s="287"/>
      <c r="O4" s="265"/>
      <c r="P4" s="265"/>
      <c r="Q4" s="265"/>
      <c r="R4" s="265"/>
      <c r="S4" s="265"/>
      <c r="T4" s="265"/>
      <c r="U4" s="265"/>
      <c r="V4" s="265"/>
      <c r="W4" s="265"/>
      <c r="X4" s="265"/>
      <c r="Y4" s="265"/>
    </row>
    <row r="5" spans="3:25" ht="22.5" customHeight="1" thickBot="1" x14ac:dyDescent="0.35">
      <c r="C5" s="272" t="s">
        <v>46</v>
      </c>
      <c r="D5" s="273"/>
      <c r="E5" s="272" t="s">
        <v>47</v>
      </c>
      <c r="F5" s="276"/>
      <c r="G5" s="273"/>
      <c r="H5" s="272" t="s">
        <v>48</v>
      </c>
      <c r="I5" s="276"/>
      <c r="J5" s="276"/>
      <c r="K5" s="276"/>
      <c r="L5" s="20"/>
      <c r="M5" s="29" t="s">
        <v>49</v>
      </c>
      <c r="O5" s="265"/>
      <c r="P5" s="265"/>
      <c r="Q5" s="265"/>
      <c r="R5" s="265"/>
      <c r="S5" s="265"/>
      <c r="T5" s="265"/>
      <c r="U5" s="265"/>
      <c r="V5" s="265"/>
      <c r="W5" s="265"/>
      <c r="X5" s="265"/>
      <c r="Y5" s="265"/>
    </row>
    <row r="6" spans="3:25" ht="30.75" customHeight="1" x14ac:dyDescent="0.3">
      <c r="C6" s="274" t="s">
        <v>50</v>
      </c>
      <c r="D6" s="275"/>
      <c r="E6" s="274" t="s">
        <v>51</v>
      </c>
      <c r="F6" s="277"/>
      <c r="G6" s="275"/>
      <c r="H6" s="274" t="s">
        <v>52</v>
      </c>
      <c r="I6" s="277"/>
      <c r="J6" s="277"/>
      <c r="K6" s="277"/>
      <c r="L6" s="25"/>
      <c r="M6" s="18" t="s">
        <v>10</v>
      </c>
      <c r="O6" s="265"/>
      <c r="P6" s="265"/>
      <c r="Q6" s="265"/>
      <c r="R6" s="265"/>
      <c r="S6" s="265"/>
      <c r="T6" s="265"/>
      <c r="U6" s="265"/>
      <c r="V6" s="265"/>
      <c r="W6" s="265"/>
      <c r="X6" s="265"/>
      <c r="Y6" s="265"/>
    </row>
    <row r="7" spans="3:25" ht="30.75" customHeight="1" x14ac:dyDescent="0.3">
      <c r="C7" s="266" t="s">
        <v>53</v>
      </c>
      <c r="D7" s="268"/>
      <c r="E7" s="266" t="s">
        <v>51</v>
      </c>
      <c r="F7" s="267"/>
      <c r="G7" s="268"/>
      <c r="H7" s="266" t="s">
        <v>52</v>
      </c>
      <c r="I7" s="267"/>
      <c r="J7" s="267"/>
      <c r="K7" s="267"/>
      <c r="L7" s="26"/>
      <c r="M7" s="19" t="s">
        <v>8</v>
      </c>
      <c r="O7" s="265"/>
      <c r="P7" s="265"/>
      <c r="Q7" s="265"/>
      <c r="R7" s="265"/>
      <c r="S7" s="265"/>
      <c r="T7" s="265"/>
      <c r="U7" s="265"/>
      <c r="V7" s="265"/>
      <c r="W7" s="265"/>
      <c r="X7" s="265"/>
      <c r="Y7" s="265"/>
    </row>
    <row r="8" spans="3:25" ht="30.75" customHeight="1" thickBot="1" x14ac:dyDescent="0.35">
      <c r="C8" s="269" t="s">
        <v>54</v>
      </c>
      <c r="D8" s="271"/>
      <c r="E8" s="269" t="s">
        <v>55</v>
      </c>
      <c r="F8" s="270"/>
      <c r="G8" s="271"/>
      <c r="H8" s="269" t="s">
        <v>52</v>
      </c>
      <c r="I8" s="270"/>
      <c r="J8" s="270"/>
      <c r="K8" s="270"/>
      <c r="L8" s="21"/>
      <c r="M8" s="4" t="s">
        <v>8</v>
      </c>
      <c r="O8" s="265"/>
      <c r="P8" s="265"/>
      <c r="Q8" s="265"/>
      <c r="R8" s="265"/>
      <c r="S8" s="265"/>
      <c r="T8" s="265"/>
      <c r="U8" s="265"/>
      <c r="V8" s="265"/>
      <c r="W8" s="265"/>
      <c r="X8" s="265"/>
      <c r="Y8" s="265"/>
    </row>
    <row r="9" spans="3:25" ht="15" thickBot="1" x14ac:dyDescent="0.35">
      <c r="L9" s="23"/>
      <c r="O9" s="265"/>
      <c r="P9" s="265"/>
      <c r="Q9" s="265"/>
      <c r="R9" s="265"/>
      <c r="S9" s="265"/>
      <c r="T9" s="265"/>
      <c r="U9" s="265"/>
      <c r="V9" s="265"/>
      <c r="W9" s="265"/>
      <c r="X9" s="265"/>
      <c r="Y9" s="265"/>
    </row>
    <row r="10" spans="3:25" ht="30.75" customHeight="1" thickBot="1" x14ac:dyDescent="0.35">
      <c r="C10" s="286" t="s">
        <v>56</v>
      </c>
      <c r="D10" s="287"/>
      <c r="E10" s="287"/>
      <c r="F10" s="287"/>
      <c r="G10" s="287"/>
      <c r="H10" s="287"/>
      <c r="I10" s="287"/>
      <c r="J10" s="287"/>
      <c r="K10" s="287"/>
      <c r="L10" s="287"/>
      <c r="M10" s="287"/>
      <c r="O10" s="265"/>
      <c r="P10" s="265"/>
      <c r="Q10" s="265"/>
      <c r="R10" s="265"/>
      <c r="S10" s="265"/>
      <c r="T10" s="265"/>
      <c r="U10" s="265"/>
      <c r="V10" s="265"/>
      <c r="W10" s="265"/>
      <c r="X10" s="265"/>
      <c r="Y10" s="265"/>
    </row>
    <row r="11" spans="3:25" ht="22.5" customHeight="1" thickBot="1" x14ac:dyDescent="0.35">
      <c r="C11" s="283" t="s">
        <v>57</v>
      </c>
      <c r="D11" s="284"/>
      <c r="E11" s="283" t="s">
        <v>47</v>
      </c>
      <c r="F11" s="285"/>
      <c r="G11" s="285"/>
      <c r="H11" s="272" t="s">
        <v>48</v>
      </c>
      <c r="I11" s="276"/>
      <c r="J11" s="276"/>
      <c r="K11" s="276"/>
      <c r="L11" s="20"/>
      <c r="M11" s="29" t="s">
        <v>49</v>
      </c>
      <c r="O11" s="265"/>
      <c r="P11" s="265"/>
      <c r="Q11" s="265"/>
      <c r="R11" s="265"/>
      <c r="S11" s="265"/>
      <c r="T11" s="265"/>
      <c r="U11" s="265"/>
      <c r="V11" s="265"/>
      <c r="W11" s="265"/>
      <c r="X11" s="265"/>
      <c r="Y11" s="265"/>
    </row>
    <row r="12" spans="3:25" ht="24.75" customHeight="1" thickBot="1" x14ac:dyDescent="0.35">
      <c r="C12" s="306" t="s">
        <v>58</v>
      </c>
      <c r="D12" s="307"/>
      <c r="E12" s="293" t="s">
        <v>59</v>
      </c>
      <c r="F12" s="293"/>
      <c r="G12" s="294"/>
      <c r="H12" s="280" t="s">
        <v>60</v>
      </c>
      <c r="I12" s="281"/>
      <c r="J12" s="281"/>
      <c r="K12" s="282"/>
      <c r="L12" s="28"/>
      <c r="M12" s="27" t="s">
        <v>10</v>
      </c>
      <c r="O12" s="265"/>
      <c r="P12" s="265"/>
      <c r="Q12" s="265"/>
      <c r="R12" s="265"/>
      <c r="S12" s="265"/>
      <c r="T12" s="265"/>
      <c r="U12" s="265"/>
      <c r="V12" s="265"/>
      <c r="W12" s="265"/>
      <c r="X12" s="265"/>
      <c r="Y12" s="265"/>
    </row>
    <row r="13" spans="3:25" ht="24.75" customHeight="1" thickBot="1" x14ac:dyDescent="0.35">
      <c r="C13" s="288" t="s">
        <v>61</v>
      </c>
      <c r="D13" s="278"/>
      <c r="E13" s="278" t="s">
        <v>51</v>
      </c>
      <c r="F13" s="278"/>
      <c r="G13" s="279"/>
      <c r="H13" s="269" t="s">
        <v>60</v>
      </c>
      <c r="I13" s="270"/>
      <c r="J13" s="270"/>
      <c r="K13" s="270"/>
      <c r="L13" s="21"/>
      <c r="M13" s="4" t="s">
        <v>10</v>
      </c>
      <c r="O13" s="265"/>
      <c r="P13" s="265"/>
      <c r="Q13" s="265"/>
      <c r="R13" s="265"/>
      <c r="S13" s="265"/>
      <c r="T13" s="265"/>
      <c r="U13" s="265"/>
      <c r="V13" s="265"/>
      <c r="W13" s="265"/>
      <c r="X13" s="265"/>
      <c r="Y13" s="265"/>
    </row>
    <row r="14" spans="3:25" ht="13.5" customHeight="1" thickBot="1" x14ac:dyDescent="0.35">
      <c r="C14" s="300"/>
      <c r="D14" s="300"/>
      <c r="E14" s="300"/>
      <c r="F14" s="300"/>
      <c r="G14" s="300"/>
      <c r="H14" s="300"/>
      <c r="I14" s="300"/>
      <c r="J14" s="300"/>
      <c r="L14" s="23"/>
      <c r="O14" s="265"/>
      <c r="P14" s="265"/>
      <c r="Q14" s="265"/>
      <c r="R14" s="265"/>
      <c r="S14" s="265"/>
      <c r="T14" s="265"/>
      <c r="U14" s="265"/>
      <c r="V14" s="265"/>
      <c r="W14" s="265"/>
      <c r="X14" s="265"/>
      <c r="Y14" s="265"/>
    </row>
    <row r="15" spans="3:25" ht="29.25" customHeight="1" thickBot="1" x14ac:dyDescent="0.35">
      <c r="C15" s="286" t="s">
        <v>62</v>
      </c>
      <c r="D15" s="287"/>
      <c r="E15" s="287"/>
      <c r="F15" s="287"/>
      <c r="G15" s="287"/>
      <c r="H15" s="287"/>
      <c r="I15" s="287"/>
      <c r="J15" s="287"/>
      <c r="K15" s="287"/>
      <c r="L15" s="287"/>
      <c r="M15" s="287"/>
      <c r="O15" s="265"/>
      <c r="P15" s="265"/>
      <c r="Q15" s="265"/>
      <c r="R15" s="265"/>
      <c r="S15" s="265"/>
      <c r="T15" s="265"/>
      <c r="U15" s="265"/>
      <c r="V15" s="265"/>
      <c r="W15" s="265"/>
      <c r="X15" s="265"/>
      <c r="Y15" s="265"/>
    </row>
    <row r="16" spans="3:25" ht="21.75" customHeight="1" thickBot="1" x14ac:dyDescent="0.35">
      <c r="C16" s="283" t="s">
        <v>57</v>
      </c>
      <c r="D16" s="284"/>
      <c r="E16" s="283" t="s">
        <v>47</v>
      </c>
      <c r="F16" s="285"/>
      <c r="G16" s="284"/>
      <c r="H16" s="272" t="s">
        <v>48</v>
      </c>
      <c r="I16" s="276"/>
      <c r="J16" s="276"/>
      <c r="K16" s="276"/>
      <c r="L16" s="24"/>
      <c r="M16" s="29" t="s">
        <v>49</v>
      </c>
      <c r="O16" s="265"/>
      <c r="P16" s="265"/>
      <c r="Q16" s="265"/>
      <c r="R16" s="265"/>
      <c r="S16" s="265"/>
      <c r="T16" s="265"/>
      <c r="U16" s="265"/>
      <c r="V16" s="265"/>
      <c r="W16" s="265"/>
      <c r="X16" s="265"/>
      <c r="Y16" s="265"/>
    </row>
    <row r="17" spans="3:25" ht="29.25" customHeight="1" x14ac:dyDescent="0.3">
      <c r="C17" s="292" t="s">
        <v>63</v>
      </c>
      <c r="D17" s="293"/>
      <c r="E17" s="293" t="s">
        <v>51</v>
      </c>
      <c r="F17" s="293"/>
      <c r="G17" s="294"/>
      <c r="H17" s="292" t="s">
        <v>64</v>
      </c>
      <c r="I17" s="293"/>
      <c r="J17" s="293"/>
      <c r="K17" s="294"/>
      <c r="L17" s="25"/>
      <c r="M17" s="18" t="s">
        <v>10</v>
      </c>
      <c r="O17" s="265"/>
      <c r="P17" s="265"/>
      <c r="Q17" s="265"/>
      <c r="R17" s="265"/>
      <c r="S17" s="265"/>
      <c r="T17" s="265"/>
      <c r="U17" s="265"/>
      <c r="V17" s="265"/>
      <c r="W17" s="265"/>
      <c r="X17" s="265"/>
      <c r="Y17" s="265"/>
    </row>
    <row r="18" spans="3:25" ht="29.25" customHeight="1" x14ac:dyDescent="0.3">
      <c r="C18" s="295" t="s">
        <v>65</v>
      </c>
      <c r="D18" s="296"/>
      <c r="E18" s="296" t="s">
        <v>51</v>
      </c>
      <c r="F18" s="296"/>
      <c r="G18" s="297"/>
      <c r="H18" s="295" t="s">
        <v>52</v>
      </c>
      <c r="I18" s="296"/>
      <c r="J18" s="296"/>
      <c r="K18" s="297"/>
      <c r="L18" s="26"/>
      <c r="M18" s="19" t="s">
        <v>10</v>
      </c>
      <c r="O18" s="265"/>
      <c r="P18" s="265"/>
      <c r="Q18" s="265"/>
      <c r="R18" s="265"/>
      <c r="S18" s="265"/>
      <c r="T18" s="265"/>
      <c r="U18" s="265"/>
      <c r="V18" s="265"/>
      <c r="W18" s="265"/>
      <c r="X18" s="265"/>
      <c r="Y18" s="265"/>
    </row>
    <row r="19" spans="3:25" ht="29.25" customHeight="1" thickBot="1" x14ac:dyDescent="0.35">
      <c r="C19" s="288" t="s">
        <v>66</v>
      </c>
      <c r="D19" s="278"/>
      <c r="E19" s="278" t="s">
        <v>67</v>
      </c>
      <c r="F19" s="278"/>
      <c r="G19" s="279"/>
      <c r="H19" s="288" t="s">
        <v>52</v>
      </c>
      <c r="I19" s="278"/>
      <c r="J19" s="278"/>
      <c r="K19" s="279"/>
      <c r="L19" s="21"/>
      <c r="M19" s="205" t="s">
        <v>10</v>
      </c>
      <c r="O19" s="265"/>
      <c r="P19" s="265"/>
      <c r="Q19" s="265"/>
      <c r="R19" s="265"/>
      <c r="S19" s="265"/>
      <c r="T19" s="265"/>
      <c r="U19" s="265"/>
      <c r="V19" s="265"/>
      <c r="W19" s="265"/>
      <c r="X19" s="265"/>
      <c r="Y19" s="265"/>
    </row>
    <row r="20" spans="3:25" ht="15" thickBot="1" x14ac:dyDescent="0.35">
      <c r="L20" s="23"/>
    </row>
    <row r="21" spans="3:25" ht="29.25" customHeight="1" thickBot="1" x14ac:dyDescent="0.35">
      <c r="C21" s="298" t="s">
        <v>68</v>
      </c>
      <c r="D21" s="299"/>
      <c r="E21" s="299"/>
      <c r="F21" s="299"/>
      <c r="G21" s="299"/>
      <c r="H21" s="299"/>
      <c r="I21" s="299"/>
      <c r="J21" s="299"/>
      <c r="K21" s="299"/>
      <c r="L21" s="299"/>
      <c r="M21" s="299"/>
    </row>
    <row r="22" spans="3:25" ht="22.5" customHeight="1" thickBot="1" x14ac:dyDescent="0.35">
      <c r="C22" s="283" t="s">
        <v>57</v>
      </c>
      <c r="D22" s="284"/>
      <c r="E22" s="283" t="s">
        <v>47</v>
      </c>
      <c r="F22" s="285"/>
      <c r="G22" s="285"/>
      <c r="H22" s="289" t="s">
        <v>48</v>
      </c>
      <c r="I22" s="290"/>
      <c r="J22" s="290"/>
      <c r="K22" s="291"/>
      <c r="L22" s="20"/>
      <c r="M22" s="29" t="s">
        <v>49</v>
      </c>
    </row>
    <row r="23" spans="3:25" ht="29.25" customHeight="1" x14ac:dyDescent="0.3">
      <c r="C23" s="292" t="s">
        <v>66</v>
      </c>
      <c r="D23" s="293"/>
      <c r="E23" s="293" t="s">
        <v>67</v>
      </c>
      <c r="F23" s="293"/>
      <c r="G23" s="294"/>
      <c r="H23" s="295" t="s">
        <v>52</v>
      </c>
      <c r="I23" s="296"/>
      <c r="J23" s="296"/>
      <c r="K23" s="297"/>
      <c r="L23" s="22"/>
      <c r="M23" s="18" t="s">
        <v>10</v>
      </c>
    </row>
    <row r="24" spans="3:25" ht="29.25" customHeight="1" thickBot="1" x14ac:dyDescent="0.35">
      <c r="C24" s="288" t="s">
        <v>65</v>
      </c>
      <c r="D24" s="278"/>
      <c r="E24" s="278" t="s">
        <v>51</v>
      </c>
      <c r="F24" s="278"/>
      <c r="G24" s="279"/>
      <c r="H24" s="288" t="s">
        <v>52</v>
      </c>
      <c r="I24" s="278"/>
      <c r="J24" s="278"/>
      <c r="K24" s="279"/>
      <c r="L24" s="21"/>
      <c r="M24" s="4" t="s">
        <v>10</v>
      </c>
    </row>
    <row r="25" spans="3:25" ht="15.75" customHeight="1" thickBot="1" x14ac:dyDescent="0.35">
      <c r="C25" s="300"/>
      <c r="D25" s="300"/>
      <c r="E25" s="300"/>
      <c r="F25" s="300"/>
      <c r="G25" s="300"/>
      <c r="H25" s="300"/>
      <c r="I25" s="300"/>
      <c r="J25" s="300"/>
      <c r="L25" s="23"/>
    </row>
    <row r="26" spans="3:25" ht="31.5" customHeight="1" thickBot="1" x14ac:dyDescent="0.35">
      <c r="C26" s="298" t="s">
        <v>69</v>
      </c>
      <c r="D26" s="299"/>
      <c r="E26" s="299"/>
      <c r="F26" s="299"/>
      <c r="G26" s="299"/>
      <c r="H26" s="299"/>
      <c r="I26" s="299"/>
      <c r="J26" s="299"/>
      <c r="K26" s="299"/>
      <c r="L26" s="299"/>
      <c r="M26" s="299"/>
    </row>
    <row r="27" spans="3:25" ht="21.75" customHeight="1" thickBot="1" x14ac:dyDescent="0.35">
      <c r="C27" s="283" t="s">
        <v>57</v>
      </c>
      <c r="D27" s="284"/>
      <c r="E27" s="283" t="s">
        <v>47</v>
      </c>
      <c r="F27" s="285"/>
      <c r="G27" s="285"/>
      <c r="H27" s="272" t="s">
        <v>48</v>
      </c>
      <c r="I27" s="276"/>
      <c r="J27" s="276"/>
      <c r="K27" s="276"/>
      <c r="L27" s="20"/>
      <c r="M27" s="30" t="s">
        <v>49</v>
      </c>
    </row>
    <row r="28" spans="3:25" ht="29.25" customHeight="1" thickBot="1" x14ac:dyDescent="0.35">
      <c r="C28" s="301" t="s">
        <v>70</v>
      </c>
      <c r="D28" s="302"/>
      <c r="E28" s="302" t="s">
        <v>71</v>
      </c>
      <c r="F28" s="302"/>
      <c r="G28" s="303"/>
      <c r="H28" s="269" t="s">
        <v>52</v>
      </c>
      <c r="I28" s="270"/>
      <c r="J28" s="270"/>
      <c r="K28" s="270"/>
      <c r="L28" s="21"/>
      <c r="M28" s="15" t="s">
        <v>10</v>
      </c>
    </row>
    <row r="29" spans="3:25" ht="29.25" customHeight="1" x14ac:dyDescent="0.3">
      <c r="C29" s="300"/>
      <c r="D29" s="300"/>
      <c r="E29" s="300"/>
      <c r="F29" s="300"/>
      <c r="G29" s="300"/>
      <c r="H29" s="300"/>
      <c r="I29" s="300"/>
      <c r="J29" s="300"/>
    </row>
    <row r="30" spans="3:25" ht="29.25" customHeight="1" thickBot="1" x14ac:dyDescent="0.35">
      <c r="C30" s="300"/>
      <c r="D30" s="300"/>
      <c r="E30" s="300"/>
      <c r="F30" s="300"/>
      <c r="G30" s="300"/>
      <c r="H30" s="300"/>
      <c r="I30" s="300"/>
      <c r="J30" s="300"/>
    </row>
    <row r="31" spans="3:25" x14ac:dyDescent="0.3">
      <c r="C31" s="211" t="s">
        <v>51</v>
      </c>
      <c r="D31" s="212" t="s">
        <v>71</v>
      </c>
      <c r="E31" s="213" t="s">
        <v>67</v>
      </c>
    </row>
    <row r="32" spans="3:25" x14ac:dyDescent="0.3">
      <c r="C32" s="206">
        <v>16550</v>
      </c>
      <c r="D32" s="197">
        <v>2100</v>
      </c>
      <c r="E32" s="207">
        <v>875</v>
      </c>
      <c r="F32">
        <f>875+2850</f>
        <v>3725</v>
      </c>
    </row>
    <row r="33" spans="3:5" ht="15" thickBot="1" x14ac:dyDescent="0.35">
      <c r="C33" s="208"/>
      <c r="D33" s="209">
        <v>2850</v>
      </c>
      <c r="E33" s="210"/>
    </row>
    <row r="34" spans="3:5" ht="15" thickBot="1" x14ac:dyDescent="0.35"/>
    <row r="35" spans="3:5" ht="15" thickBot="1" x14ac:dyDescent="0.35">
      <c r="C35" s="216" t="s">
        <v>72</v>
      </c>
      <c r="D35" s="215">
        <f xml:space="preserve"> C32+D32+E32</f>
        <v>19525</v>
      </c>
      <c r="E35" t="s">
        <v>73</v>
      </c>
    </row>
    <row r="36" spans="3:5" x14ac:dyDescent="0.3">
      <c r="D36" s="214" t="s">
        <v>74</v>
      </c>
    </row>
    <row r="37" spans="3:5" ht="15" thickBot="1" x14ac:dyDescent="0.35">
      <c r="D37" s="217">
        <f>C32+D33+E32</f>
        <v>20275</v>
      </c>
      <c r="E37" t="s">
        <v>75</v>
      </c>
    </row>
  </sheetData>
  <mergeCells count="67">
    <mergeCell ref="C10:M10"/>
    <mergeCell ref="C4:M4"/>
    <mergeCell ref="C3:M3"/>
    <mergeCell ref="C19:D19"/>
    <mergeCell ref="E19:G19"/>
    <mergeCell ref="C14:D14"/>
    <mergeCell ref="E14:G14"/>
    <mergeCell ref="H14:J14"/>
    <mergeCell ref="C16:D16"/>
    <mergeCell ref="E16:G16"/>
    <mergeCell ref="H16:K16"/>
    <mergeCell ref="C12:D12"/>
    <mergeCell ref="E12:G12"/>
    <mergeCell ref="C13:D13"/>
    <mergeCell ref="C30:D30"/>
    <mergeCell ref="E30:G30"/>
    <mergeCell ref="H30:J30"/>
    <mergeCell ref="H5:K5"/>
    <mergeCell ref="H6:K6"/>
    <mergeCell ref="H7:K7"/>
    <mergeCell ref="H8:K8"/>
    <mergeCell ref="C28:D28"/>
    <mergeCell ref="E28:G28"/>
    <mergeCell ref="C29:D29"/>
    <mergeCell ref="E29:G29"/>
    <mergeCell ref="H29:J29"/>
    <mergeCell ref="H28:K28"/>
    <mergeCell ref="C25:D25"/>
    <mergeCell ref="E25:G25"/>
    <mergeCell ref="H25:J25"/>
    <mergeCell ref="C27:D27"/>
    <mergeCell ref="E27:G27"/>
    <mergeCell ref="H27:K27"/>
    <mergeCell ref="C26:M26"/>
    <mergeCell ref="C23:D23"/>
    <mergeCell ref="E23:G23"/>
    <mergeCell ref="C24:D24"/>
    <mergeCell ref="E24:G24"/>
    <mergeCell ref="H23:K23"/>
    <mergeCell ref="H24:K24"/>
    <mergeCell ref="C22:D22"/>
    <mergeCell ref="E22:G22"/>
    <mergeCell ref="H19:K19"/>
    <mergeCell ref="H22:K22"/>
    <mergeCell ref="C17:D17"/>
    <mergeCell ref="E17:G17"/>
    <mergeCell ref="C18:D18"/>
    <mergeCell ref="E18:G18"/>
    <mergeCell ref="H17:K17"/>
    <mergeCell ref="H18:K18"/>
    <mergeCell ref="C21:M21"/>
    <mergeCell ref="O3:Y19"/>
    <mergeCell ref="E7:G7"/>
    <mergeCell ref="E8:G8"/>
    <mergeCell ref="C5:D5"/>
    <mergeCell ref="C6:D6"/>
    <mergeCell ref="C7:D7"/>
    <mergeCell ref="C8:D8"/>
    <mergeCell ref="E5:G5"/>
    <mergeCell ref="E6:G6"/>
    <mergeCell ref="E13:G13"/>
    <mergeCell ref="H12:K12"/>
    <mergeCell ref="H13:K13"/>
    <mergeCell ref="C11:D11"/>
    <mergeCell ref="E11:G11"/>
    <mergeCell ref="H11:K11"/>
    <mergeCell ref="C15:M15"/>
  </mergeCells>
  <conditionalFormatting sqref="M6:M8 M12:M13 M17:M18 M23:M24 M28">
    <cfRule type="containsText" dxfId="33" priority="1" operator="containsText" text="Yes">
      <formula>NOT(ISERROR(SEARCH("Yes",M6)))</formula>
    </cfRule>
    <cfRule type="containsText" dxfId="32" priority="2" operator="containsText" text="No">
      <formula>NOT(ISERROR(SEARCH("No",M6)))</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DAD19-F060-4812-80EC-C54DBE7826A8}">
  <dimension ref="B2:L16"/>
  <sheetViews>
    <sheetView workbookViewId="0">
      <selection activeCell="B15" sqref="B15:C15"/>
    </sheetView>
  </sheetViews>
  <sheetFormatPr defaultRowHeight="14.4" x14ac:dyDescent="0.3"/>
  <cols>
    <col min="1" max="1" width="3.33203125" customWidth="1"/>
    <col min="3" max="3" width="48.33203125" customWidth="1"/>
    <col min="11" max="11" width="2.88671875" customWidth="1"/>
    <col min="12" max="12" width="31.33203125" customWidth="1"/>
  </cols>
  <sheetData>
    <row r="2" spans="2:12" x14ac:dyDescent="0.3">
      <c r="B2" s="304" t="s">
        <v>76</v>
      </c>
      <c r="C2" s="305"/>
      <c r="D2" s="305"/>
      <c r="E2" s="305"/>
      <c r="F2" s="305"/>
      <c r="G2" s="305"/>
      <c r="H2" s="305"/>
      <c r="I2" s="305"/>
      <c r="J2" s="305"/>
      <c r="K2" s="305"/>
      <c r="L2" s="305"/>
    </row>
    <row r="3" spans="2:12" ht="15" thickBot="1" x14ac:dyDescent="0.35">
      <c r="B3" s="286"/>
      <c r="C3" s="287"/>
      <c r="D3" s="287"/>
      <c r="E3" s="287"/>
      <c r="F3" s="287"/>
      <c r="G3" s="287"/>
      <c r="H3" s="287"/>
      <c r="I3" s="287"/>
      <c r="J3" s="287"/>
      <c r="K3" s="287"/>
      <c r="L3" s="287"/>
    </row>
    <row r="4" spans="2:12" ht="15" thickBot="1" x14ac:dyDescent="0.35">
      <c r="B4" s="272" t="s">
        <v>46</v>
      </c>
      <c r="C4" s="273"/>
      <c r="D4" s="272" t="s">
        <v>47</v>
      </c>
      <c r="E4" s="276"/>
      <c r="F4" s="273"/>
      <c r="G4" s="272" t="s">
        <v>48</v>
      </c>
      <c r="H4" s="276"/>
      <c r="I4" s="276"/>
      <c r="J4" s="276"/>
      <c r="K4" s="20"/>
      <c r="L4" s="29" t="s">
        <v>49</v>
      </c>
    </row>
    <row r="5" spans="2:12" x14ac:dyDescent="0.3">
      <c r="B5" s="274" t="s">
        <v>77</v>
      </c>
      <c r="C5" s="275"/>
      <c r="D5" s="274" t="s">
        <v>78</v>
      </c>
      <c r="E5" s="277"/>
      <c r="F5" s="275"/>
      <c r="G5" s="274" t="s">
        <v>52</v>
      </c>
      <c r="H5" s="277"/>
      <c r="I5" s="277"/>
      <c r="J5" s="277"/>
      <c r="K5" s="25"/>
      <c r="L5" s="18" t="s">
        <v>10</v>
      </c>
    </row>
    <row r="6" spans="2:12" x14ac:dyDescent="0.3">
      <c r="B6" s="266" t="s">
        <v>79</v>
      </c>
      <c r="C6" s="268"/>
      <c r="D6" s="266" t="s">
        <v>67</v>
      </c>
      <c r="E6" s="267"/>
      <c r="F6" s="268"/>
      <c r="G6" s="266" t="s">
        <v>52</v>
      </c>
      <c r="H6" s="267"/>
      <c r="I6" s="267"/>
      <c r="J6" s="267"/>
      <c r="K6" s="26"/>
      <c r="L6" s="19" t="s">
        <v>8</v>
      </c>
    </row>
    <row r="7" spans="2:12" ht="15" thickBot="1" x14ac:dyDescent="0.35">
      <c r="B7" s="269" t="s">
        <v>80</v>
      </c>
      <c r="C7" s="271"/>
      <c r="D7" s="269" t="s">
        <v>67</v>
      </c>
      <c r="E7" s="270"/>
      <c r="F7" s="271"/>
      <c r="G7" s="269" t="s">
        <v>64</v>
      </c>
      <c r="H7" s="270"/>
      <c r="I7" s="270"/>
      <c r="J7" s="270"/>
      <c r="K7" s="21"/>
      <c r="L7" s="4" t="s">
        <v>8</v>
      </c>
    </row>
    <row r="8" spans="2:12" x14ac:dyDescent="0.3">
      <c r="B8" s="274" t="s">
        <v>81</v>
      </c>
      <c r="C8" s="275"/>
      <c r="D8" s="274" t="s">
        <v>67</v>
      </c>
      <c r="E8" s="277"/>
      <c r="F8" s="275"/>
      <c r="G8" s="274" t="s">
        <v>64</v>
      </c>
      <c r="H8" s="277"/>
      <c r="I8" s="277"/>
      <c r="J8" s="277"/>
      <c r="K8" s="25"/>
      <c r="L8" s="18"/>
    </row>
    <row r="9" spans="2:12" x14ac:dyDescent="0.3">
      <c r="B9" s="266" t="s">
        <v>82</v>
      </c>
      <c r="C9" s="268"/>
      <c r="D9" s="266" t="s">
        <v>67</v>
      </c>
      <c r="E9" s="267"/>
      <c r="F9" s="268"/>
      <c r="G9" s="266" t="s">
        <v>52</v>
      </c>
      <c r="H9" s="267"/>
      <c r="I9" s="267"/>
      <c r="J9" s="267"/>
      <c r="K9" s="26"/>
      <c r="L9" s="19"/>
    </row>
    <row r="10" spans="2:12" ht="15" thickBot="1" x14ac:dyDescent="0.35">
      <c r="B10" s="269" t="s">
        <v>83</v>
      </c>
      <c r="C10" s="271"/>
      <c r="D10" s="269" t="s">
        <v>84</v>
      </c>
      <c r="E10" s="270"/>
      <c r="F10" s="271"/>
      <c r="G10" s="269" t="s">
        <v>52</v>
      </c>
      <c r="H10" s="270"/>
      <c r="I10" s="270"/>
      <c r="J10" s="270"/>
      <c r="K10" s="21"/>
      <c r="L10" s="4"/>
    </row>
    <row r="11" spans="2:12" x14ac:dyDescent="0.3">
      <c r="B11" s="274" t="s">
        <v>85</v>
      </c>
      <c r="C11" s="275"/>
      <c r="D11" s="274" t="s">
        <v>86</v>
      </c>
      <c r="E11" s="277"/>
      <c r="F11" s="275"/>
      <c r="G11" s="274" t="s">
        <v>52</v>
      </c>
      <c r="H11" s="277"/>
      <c r="I11" s="277"/>
      <c r="J11" s="277"/>
      <c r="K11" s="25"/>
      <c r="L11" s="18"/>
    </row>
    <row r="12" spans="2:12" ht="28.5" customHeight="1" x14ac:dyDescent="0.3">
      <c r="B12" s="308" t="s">
        <v>87</v>
      </c>
      <c r="C12" s="309"/>
      <c r="D12" s="266" t="s">
        <v>86</v>
      </c>
      <c r="E12" s="267"/>
      <c r="F12" s="268"/>
      <c r="G12" s="266" t="s">
        <v>52</v>
      </c>
      <c r="H12" s="267"/>
      <c r="I12" s="267"/>
      <c r="J12" s="267"/>
      <c r="K12" s="26"/>
      <c r="L12" s="19"/>
    </row>
    <row r="13" spans="2:12" ht="15" thickBot="1" x14ac:dyDescent="0.35">
      <c r="B13" s="269" t="s">
        <v>88</v>
      </c>
      <c r="C13" s="271"/>
      <c r="D13" s="269" t="s">
        <v>86</v>
      </c>
      <c r="E13" s="270"/>
      <c r="F13" s="271"/>
      <c r="G13" s="269"/>
      <c r="H13" s="270"/>
      <c r="I13" s="270"/>
      <c r="J13" s="270"/>
      <c r="K13" s="21"/>
      <c r="L13" s="4"/>
    </row>
    <row r="14" spans="2:12" x14ac:dyDescent="0.3">
      <c r="B14" s="274" t="s">
        <v>89</v>
      </c>
      <c r="C14" s="275"/>
      <c r="D14" s="274" t="s">
        <v>86</v>
      </c>
      <c r="E14" s="277"/>
      <c r="F14" s="275"/>
      <c r="G14" s="274" t="s">
        <v>90</v>
      </c>
      <c r="H14" s="277"/>
      <c r="I14" s="277"/>
      <c r="J14" s="277"/>
      <c r="K14" s="25"/>
      <c r="L14" s="18"/>
    </row>
    <row r="15" spans="2:12" x14ac:dyDescent="0.3">
      <c r="B15" s="266"/>
      <c r="C15" s="268"/>
      <c r="D15" s="266"/>
      <c r="E15" s="267"/>
      <c r="F15" s="268"/>
      <c r="G15" s="266"/>
      <c r="H15" s="267"/>
      <c r="I15" s="267"/>
      <c r="J15" s="267"/>
      <c r="K15" s="26"/>
      <c r="L15" s="19"/>
    </row>
    <row r="16" spans="2:12" ht="15" thickBot="1" x14ac:dyDescent="0.35">
      <c r="B16" s="269"/>
      <c r="C16" s="271"/>
      <c r="D16" s="269"/>
      <c r="E16" s="270"/>
      <c r="F16" s="271"/>
      <c r="G16" s="269"/>
      <c r="H16" s="270"/>
      <c r="I16" s="270"/>
      <c r="J16" s="270"/>
      <c r="K16" s="21"/>
      <c r="L16" s="4"/>
    </row>
  </sheetData>
  <mergeCells count="41">
    <mergeCell ref="B5:C5"/>
    <mergeCell ref="D5:F5"/>
    <mergeCell ref="G5:J5"/>
    <mergeCell ref="B2:L2"/>
    <mergeCell ref="B3:L3"/>
    <mergeCell ref="B4:C4"/>
    <mergeCell ref="D4:F4"/>
    <mergeCell ref="G4:J4"/>
    <mergeCell ref="B6:C6"/>
    <mergeCell ref="D6:F6"/>
    <mergeCell ref="G6:J6"/>
    <mergeCell ref="B7:C7"/>
    <mergeCell ref="D7:F7"/>
    <mergeCell ref="G7:J7"/>
    <mergeCell ref="B8:C8"/>
    <mergeCell ref="D8:F8"/>
    <mergeCell ref="G8:J8"/>
    <mergeCell ref="B15:C15"/>
    <mergeCell ref="D15:F15"/>
    <mergeCell ref="G15:J15"/>
    <mergeCell ref="B9:C9"/>
    <mergeCell ref="D9:F9"/>
    <mergeCell ref="G9:J9"/>
    <mergeCell ref="G13:J13"/>
    <mergeCell ref="B14:C14"/>
    <mergeCell ref="D14:F14"/>
    <mergeCell ref="B12:C12"/>
    <mergeCell ref="D12:F12"/>
    <mergeCell ref="G12:J12"/>
    <mergeCell ref="B13:C13"/>
    <mergeCell ref="G14:J14"/>
    <mergeCell ref="B16:C16"/>
    <mergeCell ref="D16:F16"/>
    <mergeCell ref="G16:J16"/>
    <mergeCell ref="B10:C10"/>
    <mergeCell ref="D10:F10"/>
    <mergeCell ref="G10:J10"/>
    <mergeCell ref="D13:F13"/>
    <mergeCell ref="B11:C11"/>
    <mergeCell ref="D11:F11"/>
    <mergeCell ref="G11:J11"/>
  </mergeCells>
  <conditionalFormatting sqref="L5:L16">
    <cfRule type="containsText" dxfId="31" priority="1" operator="containsText" text="Yes">
      <formula>NOT(ISERROR(SEARCH("Yes",L5)))</formula>
    </cfRule>
    <cfRule type="containsText" dxfId="30" priority="2" operator="containsText" text="No">
      <formula>NOT(ISERROR(SEARCH("No",L5)))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BBB37-9F9A-4CBD-88D4-E647FE057FD2}">
  <sheetPr>
    <tabColor rgb="FFFF0000"/>
  </sheetPr>
  <dimension ref="D5:O76"/>
  <sheetViews>
    <sheetView tabSelected="1" topLeftCell="E18" workbookViewId="0">
      <selection activeCell="H14" sqref="H14"/>
    </sheetView>
  </sheetViews>
  <sheetFormatPr defaultRowHeight="14.4" x14ac:dyDescent="0.3"/>
  <cols>
    <col min="4" max="4" width="7" bestFit="1" customWidth="1"/>
    <col min="5" max="5" width="29" bestFit="1" customWidth="1"/>
    <col min="6" max="6" width="13.109375" bestFit="1" customWidth="1"/>
    <col min="7" max="7" width="11.109375" bestFit="1" customWidth="1"/>
    <col min="8" max="8" width="43" customWidth="1"/>
    <col min="11" max="11" width="7" bestFit="1" customWidth="1"/>
    <col min="12" max="12" width="27.6640625" bestFit="1" customWidth="1"/>
    <col min="13" max="13" width="23.33203125" bestFit="1" customWidth="1"/>
    <col min="14" max="14" width="11.109375" bestFit="1" customWidth="1"/>
    <col min="15" max="15" width="42.88671875" customWidth="1"/>
  </cols>
  <sheetData>
    <row r="5" spans="4:15" ht="15" thickBot="1" x14ac:dyDescent="0.35"/>
    <row r="6" spans="4:15" ht="37.200000000000003" thickBot="1" x14ac:dyDescent="0.35">
      <c r="D6" s="313" t="s">
        <v>91</v>
      </c>
      <c r="E6" s="314"/>
      <c r="F6" s="314"/>
      <c r="G6" s="314"/>
      <c r="H6" s="315"/>
      <c r="K6" s="313" t="s">
        <v>92</v>
      </c>
      <c r="L6" s="316"/>
      <c r="M6" s="316"/>
      <c r="N6" s="316"/>
      <c r="O6" s="317"/>
    </row>
    <row r="7" spans="4:15" ht="15" thickBot="1" x14ac:dyDescent="0.35"/>
    <row r="8" spans="4:15" ht="21.6" thickBot="1" x14ac:dyDescent="0.35">
      <c r="D8" s="318" t="s">
        <v>93</v>
      </c>
      <c r="E8" s="319"/>
      <c r="F8" s="319"/>
      <c r="G8" s="319"/>
      <c r="H8" s="320"/>
      <c r="K8" s="318" t="s">
        <v>94</v>
      </c>
      <c r="L8" s="319"/>
      <c r="M8" s="319"/>
      <c r="N8" s="319"/>
      <c r="O8" s="320"/>
    </row>
    <row r="9" spans="4:15" ht="15" thickBot="1" x14ac:dyDescent="0.35">
      <c r="D9" s="31" t="s">
        <v>95</v>
      </c>
      <c r="E9" s="31" t="s">
        <v>96</v>
      </c>
      <c r="F9" s="31" t="s">
        <v>97</v>
      </c>
      <c r="G9" s="31" t="s">
        <v>98</v>
      </c>
      <c r="H9" s="32" t="s">
        <v>0</v>
      </c>
      <c r="K9" s="31" t="s">
        <v>95</v>
      </c>
      <c r="L9" s="31" t="s">
        <v>96</v>
      </c>
      <c r="M9" s="31" t="s">
        <v>97</v>
      </c>
      <c r="N9" s="31" t="s">
        <v>99</v>
      </c>
      <c r="O9" s="32" t="s">
        <v>0</v>
      </c>
    </row>
    <row r="10" spans="4:15" x14ac:dyDescent="0.3">
      <c r="D10" s="33" t="s">
        <v>100</v>
      </c>
      <c r="E10" s="34" t="s">
        <v>101</v>
      </c>
      <c r="F10" s="34" t="s">
        <v>102</v>
      </c>
      <c r="G10" s="35" t="s">
        <v>103</v>
      </c>
      <c r="H10" s="36"/>
      <c r="K10" s="37" t="s">
        <v>104</v>
      </c>
      <c r="L10" s="35" t="s">
        <v>105</v>
      </c>
      <c r="M10" s="35" t="s">
        <v>106</v>
      </c>
      <c r="N10" s="35" t="s">
        <v>103</v>
      </c>
      <c r="O10" s="38"/>
    </row>
    <row r="11" spans="4:15" x14ac:dyDescent="0.3">
      <c r="D11" s="39" t="s">
        <v>107</v>
      </c>
      <c r="E11" s="40" t="s">
        <v>105</v>
      </c>
      <c r="F11" s="40" t="s">
        <v>108</v>
      </c>
      <c r="G11" s="5" t="s">
        <v>103</v>
      </c>
      <c r="H11" s="41"/>
      <c r="K11" s="6" t="s">
        <v>109</v>
      </c>
      <c r="L11" s="5" t="s">
        <v>110</v>
      </c>
      <c r="M11" s="5" t="s">
        <v>111</v>
      </c>
      <c r="N11" s="5" t="s">
        <v>103</v>
      </c>
      <c r="O11" s="11"/>
    </row>
    <row r="12" spans="4:15" x14ac:dyDescent="0.3">
      <c r="D12" s="42" t="s">
        <v>112</v>
      </c>
      <c r="E12" s="43" t="s">
        <v>113</v>
      </c>
      <c r="F12" s="43" t="s">
        <v>114</v>
      </c>
      <c r="G12" s="44" t="s">
        <v>103</v>
      </c>
      <c r="H12" s="45"/>
      <c r="K12" s="46" t="s">
        <v>115</v>
      </c>
      <c r="L12" s="44" t="s">
        <v>116</v>
      </c>
      <c r="M12" s="44" t="s">
        <v>117</v>
      </c>
      <c r="N12" s="44" t="s">
        <v>103</v>
      </c>
      <c r="O12" s="47"/>
    </row>
    <row r="13" spans="4:15" x14ac:dyDescent="0.3">
      <c r="D13" s="39" t="s">
        <v>118</v>
      </c>
      <c r="E13" s="40" t="s">
        <v>119</v>
      </c>
      <c r="F13" s="40" t="s">
        <v>114</v>
      </c>
      <c r="G13" s="5" t="s">
        <v>103</v>
      </c>
      <c r="H13" s="41"/>
      <c r="K13" s="6" t="s">
        <v>112</v>
      </c>
      <c r="L13" s="5" t="s">
        <v>113</v>
      </c>
      <c r="M13" s="5" t="s">
        <v>120</v>
      </c>
      <c r="N13" s="5" t="s">
        <v>103</v>
      </c>
      <c r="O13" s="11"/>
    </row>
    <row r="14" spans="4:15" x14ac:dyDescent="0.3">
      <c r="D14" s="42" t="s">
        <v>121</v>
      </c>
      <c r="E14" s="43" t="s">
        <v>122</v>
      </c>
      <c r="F14" s="43" t="s">
        <v>102</v>
      </c>
      <c r="G14" s="44" t="s">
        <v>103</v>
      </c>
      <c r="H14" s="45" t="s">
        <v>652</v>
      </c>
      <c r="K14" s="46" t="s">
        <v>121</v>
      </c>
      <c r="L14" s="44" t="s">
        <v>122</v>
      </c>
      <c r="M14" s="44" t="s">
        <v>123</v>
      </c>
      <c r="N14" s="44" t="s">
        <v>141</v>
      </c>
      <c r="O14" s="47" t="s">
        <v>651</v>
      </c>
    </row>
    <row r="15" spans="4:15" ht="15" thickBot="1" x14ac:dyDescent="0.35">
      <c r="D15" s="39" t="s">
        <v>124</v>
      </c>
      <c r="E15" s="40" t="s">
        <v>125</v>
      </c>
      <c r="F15" s="40" t="s">
        <v>126</v>
      </c>
      <c r="G15" s="5" t="s">
        <v>103</v>
      </c>
      <c r="H15" s="41"/>
      <c r="K15" s="7" t="s">
        <v>127</v>
      </c>
      <c r="L15" s="8" t="s">
        <v>128</v>
      </c>
      <c r="M15" s="8" t="s">
        <v>129</v>
      </c>
      <c r="N15" s="8" t="s">
        <v>103</v>
      </c>
      <c r="O15" s="10"/>
    </row>
    <row r="16" spans="4:15" ht="15" thickBot="1" x14ac:dyDescent="0.35">
      <c r="D16" s="42" t="s">
        <v>130</v>
      </c>
      <c r="E16" s="43" t="s">
        <v>131</v>
      </c>
      <c r="F16" s="43" t="s">
        <v>126</v>
      </c>
      <c r="G16" s="44" t="s">
        <v>103</v>
      </c>
      <c r="H16" s="45"/>
    </row>
    <row r="17" spans="4:15" ht="21.6" thickBot="1" x14ac:dyDescent="0.35">
      <c r="D17" s="39" t="s">
        <v>132</v>
      </c>
      <c r="E17" s="40" t="s">
        <v>133</v>
      </c>
      <c r="F17" s="40" t="s">
        <v>134</v>
      </c>
      <c r="G17" s="5" t="s">
        <v>103</v>
      </c>
      <c r="H17" s="41"/>
      <c r="K17" s="318" t="s">
        <v>135</v>
      </c>
      <c r="L17" s="319"/>
      <c r="M17" s="319"/>
      <c r="N17" s="319"/>
      <c r="O17" s="320"/>
    </row>
    <row r="18" spans="4:15" ht="15" thickBot="1" x14ac:dyDescent="0.35">
      <c r="D18" s="48" t="s">
        <v>136</v>
      </c>
      <c r="E18" s="49" t="s">
        <v>137</v>
      </c>
      <c r="F18" s="49" t="s">
        <v>134</v>
      </c>
      <c r="G18" s="50" t="s">
        <v>103</v>
      </c>
      <c r="H18" s="51"/>
      <c r="K18" s="31" t="s">
        <v>95</v>
      </c>
      <c r="L18" s="31" t="s">
        <v>96</v>
      </c>
      <c r="M18" s="31" t="s">
        <v>97</v>
      </c>
      <c r="N18" s="31" t="s">
        <v>99</v>
      </c>
      <c r="O18" s="32" t="s">
        <v>0</v>
      </c>
    </row>
    <row r="19" spans="4:15" ht="15" thickBot="1" x14ac:dyDescent="0.35">
      <c r="K19" s="37" t="s">
        <v>138</v>
      </c>
      <c r="L19" s="35" t="s">
        <v>139</v>
      </c>
      <c r="M19" s="35" t="s">
        <v>140</v>
      </c>
      <c r="N19" s="35" t="s">
        <v>141</v>
      </c>
      <c r="O19" s="38"/>
    </row>
    <row r="20" spans="4:15" ht="21.6" thickBot="1" x14ac:dyDescent="0.45">
      <c r="D20" s="310" t="s">
        <v>142</v>
      </c>
      <c r="E20" s="311"/>
      <c r="F20" s="311"/>
      <c r="G20" s="311"/>
      <c r="H20" s="312"/>
      <c r="K20" s="6" t="s">
        <v>143</v>
      </c>
      <c r="L20" s="5" t="s">
        <v>144</v>
      </c>
      <c r="M20" s="5" t="s">
        <v>140</v>
      </c>
      <c r="N20" s="5" t="s">
        <v>141</v>
      </c>
      <c r="O20" s="11"/>
    </row>
    <row r="21" spans="4:15" ht="15" thickBot="1" x14ac:dyDescent="0.35">
      <c r="D21" s="31" t="s">
        <v>145</v>
      </c>
      <c r="E21" s="31" t="s">
        <v>146</v>
      </c>
      <c r="F21" s="31" t="s">
        <v>97</v>
      </c>
      <c r="G21" s="31" t="s">
        <v>99</v>
      </c>
      <c r="H21" s="31" t="s">
        <v>0</v>
      </c>
      <c r="K21" s="46" t="s">
        <v>147</v>
      </c>
      <c r="L21" s="44" t="s">
        <v>148</v>
      </c>
      <c r="M21" s="44" t="s">
        <v>149</v>
      </c>
      <c r="N21" s="44" t="s">
        <v>141</v>
      </c>
      <c r="O21" s="47"/>
    </row>
    <row r="22" spans="4:15" x14ac:dyDescent="0.3">
      <c r="D22" s="33" t="s">
        <v>150</v>
      </c>
      <c r="E22" s="34" t="s">
        <v>151</v>
      </c>
      <c r="F22" s="34" t="s">
        <v>140</v>
      </c>
      <c r="G22" s="35" t="s">
        <v>141</v>
      </c>
      <c r="H22" s="36"/>
      <c r="K22" s="6" t="s">
        <v>152</v>
      </c>
      <c r="L22" s="5" t="s">
        <v>153</v>
      </c>
      <c r="M22" s="5" t="s">
        <v>154</v>
      </c>
      <c r="N22" s="5" t="s">
        <v>141</v>
      </c>
      <c r="O22" s="11"/>
    </row>
    <row r="23" spans="4:15" x14ac:dyDescent="0.3">
      <c r="D23" s="39" t="s">
        <v>155</v>
      </c>
      <c r="E23" s="40" t="s">
        <v>156</v>
      </c>
      <c r="F23" s="40" t="s">
        <v>157</v>
      </c>
      <c r="G23" s="5" t="s">
        <v>141</v>
      </c>
      <c r="H23" s="41"/>
      <c r="K23" s="46" t="s">
        <v>158</v>
      </c>
      <c r="L23" s="44" t="s">
        <v>159</v>
      </c>
      <c r="M23" s="44" t="s">
        <v>140</v>
      </c>
      <c r="N23" s="44" t="s">
        <v>141</v>
      </c>
      <c r="O23" s="47"/>
    </row>
    <row r="24" spans="4:15" x14ac:dyDescent="0.3">
      <c r="D24" s="42" t="s">
        <v>160</v>
      </c>
      <c r="E24" s="43" t="s">
        <v>161</v>
      </c>
      <c r="F24" s="43" t="s">
        <v>157</v>
      </c>
      <c r="G24" s="44" t="s">
        <v>141</v>
      </c>
      <c r="H24" s="45"/>
      <c r="K24" s="6" t="s">
        <v>155</v>
      </c>
      <c r="L24" s="5" t="s">
        <v>162</v>
      </c>
      <c r="M24" s="5" t="s">
        <v>163</v>
      </c>
      <c r="N24" s="5" t="s">
        <v>141</v>
      </c>
      <c r="O24" s="11"/>
    </row>
    <row r="25" spans="4:15" x14ac:dyDescent="0.3">
      <c r="D25" s="39" t="s">
        <v>164</v>
      </c>
      <c r="E25" s="40" t="s">
        <v>165</v>
      </c>
      <c r="F25" s="40" t="s">
        <v>166</v>
      </c>
      <c r="G25" s="5" t="s">
        <v>141</v>
      </c>
      <c r="H25" s="41"/>
      <c r="K25" s="46" t="s">
        <v>160</v>
      </c>
      <c r="L25" s="44" t="s">
        <v>161</v>
      </c>
      <c r="M25" s="44" t="s">
        <v>167</v>
      </c>
      <c r="N25" s="44" t="s">
        <v>141</v>
      </c>
      <c r="O25" s="47"/>
    </row>
    <row r="26" spans="4:15" x14ac:dyDescent="0.3">
      <c r="D26" s="42" t="s">
        <v>168</v>
      </c>
      <c r="E26" s="43" t="s">
        <v>169</v>
      </c>
      <c r="F26" s="43" t="s">
        <v>170</v>
      </c>
      <c r="G26" s="44" t="s">
        <v>171</v>
      </c>
      <c r="H26" s="45"/>
      <c r="K26" s="6" t="s">
        <v>172</v>
      </c>
      <c r="L26" s="5" t="s">
        <v>173</v>
      </c>
      <c r="M26" s="5" t="s">
        <v>140</v>
      </c>
      <c r="N26" s="5" t="s">
        <v>141</v>
      </c>
      <c r="O26" s="11"/>
    </row>
    <row r="27" spans="4:15" x14ac:dyDescent="0.3">
      <c r="D27" s="39" t="s">
        <v>174</v>
      </c>
      <c r="E27" s="40" t="s">
        <v>175</v>
      </c>
      <c r="F27" s="40" t="s">
        <v>166</v>
      </c>
      <c r="G27" s="5" t="s">
        <v>171</v>
      </c>
      <c r="H27" s="41"/>
      <c r="K27" s="46" t="s">
        <v>176</v>
      </c>
      <c r="L27" s="44" t="s">
        <v>177</v>
      </c>
      <c r="M27" s="44" t="s">
        <v>167</v>
      </c>
      <c r="N27" s="44" t="s">
        <v>141</v>
      </c>
      <c r="O27" s="47"/>
    </row>
    <row r="28" spans="4:15" x14ac:dyDescent="0.3">
      <c r="D28" s="42" t="s">
        <v>178</v>
      </c>
      <c r="E28" s="43" t="s">
        <v>179</v>
      </c>
      <c r="F28" s="43" t="s">
        <v>166</v>
      </c>
      <c r="G28" s="44" t="s">
        <v>171</v>
      </c>
      <c r="H28" s="45"/>
      <c r="K28" s="6" t="s">
        <v>164</v>
      </c>
      <c r="L28" s="5" t="s">
        <v>180</v>
      </c>
      <c r="M28" s="5" t="s">
        <v>181</v>
      </c>
      <c r="N28" s="5" t="s">
        <v>141</v>
      </c>
      <c r="O28" s="11"/>
    </row>
    <row r="29" spans="4:15" x14ac:dyDescent="0.3">
      <c r="D29" s="39" t="s">
        <v>182</v>
      </c>
      <c r="E29" s="40" t="s">
        <v>183</v>
      </c>
      <c r="F29" s="40" t="s">
        <v>166</v>
      </c>
      <c r="G29" s="5" t="s">
        <v>171</v>
      </c>
      <c r="H29" s="41"/>
      <c r="K29" s="46" t="s">
        <v>184</v>
      </c>
      <c r="L29" s="44" t="s">
        <v>185</v>
      </c>
      <c r="M29" s="44" t="s">
        <v>140</v>
      </c>
      <c r="N29" s="44" t="s">
        <v>141</v>
      </c>
      <c r="O29" s="47"/>
    </row>
    <row r="30" spans="4:15" x14ac:dyDescent="0.3">
      <c r="D30" s="42" t="s">
        <v>186</v>
      </c>
      <c r="E30" s="43" t="s">
        <v>187</v>
      </c>
      <c r="F30" s="43" t="s">
        <v>166</v>
      </c>
      <c r="G30" s="44" t="s">
        <v>171</v>
      </c>
      <c r="H30" s="45"/>
      <c r="K30" s="6" t="s">
        <v>188</v>
      </c>
      <c r="L30" s="5" t="s">
        <v>189</v>
      </c>
      <c r="M30" s="5" t="s">
        <v>154</v>
      </c>
      <c r="N30" s="5" t="s">
        <v>103</v>
      </c>
      <c r="O30" s="11"/>
    </row>
    <row r="31" spans="4:15" x14ac:dyDescent="0.3">
      <c r="D31" s="39" t="s">
        <v>190</v>
      </c>
      <c r="E31" s="40" t="s">
        <v>191</v>
      </c>
      <c r="F31" s="40" t="s">
        <v>134</v>
      </c>
      <c r="G31" s="5" t="s">
        <v>171</v>
      </c>
      <c r="H31" s="41"/>
      <c r="K31" s="46" t="s">
        <v>192</v>
      </c>
      <c r="L31" s="44" t="s">
        <v>193</v>
      </c>
      <c r="M31" s="44" t="s">
        <v>194</v>
      </c>
      <c r="N31" s="44" t="s">
        <v>103</v>
      </c>
      <c r="O31" s="47"/>
    </row>
    <row r="32" spans="4:15" ht="15" thickBot="1" x14ac:dyDescent="0.35">
      <c r="D32" s="48" t="s">
        <v>195</v>
      </c>
      <c r="E32" s="49" t="s">
        <v>196</v>
      </c>
      <c r="F32" s="49" t="s">
        <v>166</v>
      </c>
      <c r="G32" s="50" t="s">
        <v>141</v>
      </c>
      <c r="H32" s="51"/>
      <c r="K32" s="6" t="s">
        <v>186</v>
      </c>
      <c r="L32" s="5" t="s">
        <v>197</v>
      </c>
      <c r="M32" s="5" t="s">
        <v>198</v>
      </c>
      <c r="N32" s="5" t="s">
        <v>103</v>
      </c>
      <c r="O32" s="11"/>
    </row>
    <row r="33" spans="4:15" ht="15" thickBot="1" x14ac:dyDescent="0.35">
      <c r="K33" s="52" t="s">
        <v>199</v>
      </c>
      <c r="L33" s="50" t="s">
        <v>200</v>
      </c>
      <c r="M33" s="50" t="s">
        <v>194</v>
      </c>
      <c r="N33" s="50" t="s">
        <v>141</v>
      </c>
      <c r="O33" s="53"/>
    </row>
    <row r="34" spans="4:15" ht="21.6" thickBot="1" x14ac:dyDescent="0.45">
      <c r="D34" s="310" t="s">
        <v>201</v>
      </c>
      <c r="E34" s="311"/>
      <c r="F34" s="311"/>
      <c r="G34" s="311"/>
      <c r="H34" s="312"/>
    </row>
    <row r="35" spans="4:15" ht="21.6" thickBot="1" x14ac:dyDescent="0.45">
      <c r="D35" s="31" t="s">
        <v>95</v>
      </c>
      <c r="E35" s="31" t="s">
        <v>96</v>
      </c>
      <c r="F35" s="31" t="s">
        <v>97</v>
      </c>
      <c r="G35" s="31" t="s">
        <v>98</v>
      </c>
      <c r="H35" s="31" t="s">
        <v>0</v>
      </c>
      <c r="K35" s="310" t="s">
        <v>202</v>
      </c>
      <c r="L35" s="311"/>
      <c r="M35" s="311"/>
      <c r="N35" s="311"/>
      <c r="O35" s="312"/>
    </row>
    <row r="36" spans="4:15" ht="15" thickBot="1" x14ac:dyDescent="0.35">
      <c r="D36" s="33" t="s">
        <v>203</v>
      </c>
      <c r="E36" s="34" t="s">
        <v>204</v>
      </c>
      <c r="F36" s="34" t="s">
        <v>205</v>
      </c>
      <c r="G36" s="35" t="s">
        <v>141</v>
      </c>
      <c r="H36" s="36"/>
      <c r="K36" s="31" t="s">
        <v>95</v>
      </c>
      <c r="L36" s="31" t="s">
        <v>96</v>
      </c>
      <c r="M36" s="31" t="s">
        <v>97</v>
      </c>
      <c r="N36" s="31" t="s">
        <v>98</v>
      </c>
      <c r="O36" s="31" t="s">
        <v>0</v>
      </c>
    </row>
    <row r="37" spans="4:15" x14ac:dyDescent="0.3">
      <c r="D37" s="39" t="s">
        <v>206</v>
      </c>
      <c r="E37" s="40" t="s">
        <v>207</v>
      </c>
      <c r="F37" s="40" t="s">
        <v>205</v>
      </c>
      <c r="G37" s="5" t="s">
        <v>141</v>
      </c>
      <c r="H37" s="41"/>
      <c r="K37" s="37" t="s">
        <v>203</v>
      </c>
      <c r="L37" s="35" t="s">
        <v>208</v>
      </c>
      <c r="M37" s="35" t="s">
        <v>205</v>
      </c>
      <c r="N37" s="35" t="s">
        <v>141</v>
      </c>
      <c r="O37" s="38"/>
    </row>
    <row r="38" spans="4:15" x14ac:dyDescent="0.3">
      <c r="D38" s="42" t="s">
        <v>209</v>
      </c>
      <c r="E38" s="43" t="s">
        <v>210</v>
      </c>
      <c r="F38" s="43" t="s">
        <v>205</v>
      </c>
      <c r="G38" s="44" t="s">
        <v>141</v>
      </c>
      <c r="H38" s="45"/>
      <c r="K38" s="6" t="s">
        <v>206</v>
      </c>
      <c r="L38" s="5" t="s">
        <v>211</v>
      </c>
      <c r="M38" s="5" t="s">
        <v>205</v>
      </c>
      <c r="N38" s="5" t="s">
        <v>141</v>
      </c>
      <c r="O38" s="11"/>
    </row>
    <row r="39" spans="4:15" x14ac:dyDescent="0.3">
      <c r="D39" s="39" t="s">
        <v>212</v>
      </c>
      <c r="E39" s="40" t="s">
        <v>213</v>
      </c>
      <c r="F39" s="40" t="s">
        <v>205</v>
      </c>
      <c r="G39" s="5" t="s">
        <v>141</v>
      </c>
      <c r="H39" s="41"/>
      <c r="K39" s="46" t="s">
        <v>209</v>
      </c>
      <c r="L39" s="44" t="s">
        <v>210</v>
      </c>
      <c r="M39" s="44" t="s">
        <v>205</v>
      </c>
      <c r="N39" s="44" t="s">
        <v>141</v>
      </c>
      <c r="O39" s="47"/>
    </row>
    <row r="40" spans="4:15" x14ac:dyDescent="0.3">
      <c r="D40" s="42" t="s">
        <v>214</v>
      </c>
      <c r="E40" s="43" t="s">
        <v>215</v>
      </c>
      <c r="F40" s="43" t="s">
        <v>205</v>
      </c>
      <c r="G40" s="44" t="s">
        <v>141</v>
      </c>
      <c r="H40" s="45"/>
      <c r="K40" s="6" t="s">
        <v>216</v>
      </c>
      <c r="L40" s="5" t="s">
        <v>217</v>
      </c>
      <c r="M40" s="5" t="s">
        <v>205</v>
      </c>
      <c r="N40" s="5" t="s">
        <v>141</v>
      </c>
      <c r="O40" s="11"/>
    </row>
    <row r="41" spans="4:15" x14ac:dyDescent="0.3">
      <c r="D41" s="39" t="s">
        <v>218</v>
      </c>
      <c r="E41" s="40" t="s">
        <v>219</v>
      </c>
      <c r="F41" s="40" t="s">
        <v>205</v>
      </c>
      <c r="G41" s="5" t="s">
        <v>141</v>
      </c>
      <c r="H41" s="41"/>
      <c r="K41" s="46" t="s">
        <v>218</v>
      </c>
      <c r="L41" s="44" t="s">
        <v>215</v>
      </c>
      <c r="M41" s="44" t="s">
        <v>205</v>
      </c>
      <c r="N41" s="44" t="s">
        <v>141</v>
      </c>
      <c r="O41" s="47"/>
    </row>
    <row r="42" spans="4:15" x14ac:dyDescent="0.3">
      <c r="D42" s="42" t="s">
        <v>220</v>
      </c>
      <c r="E42" s="43" t="s">
        <v>221</v>
      </c>
      <c r="F42" s="43" t="s">
        <v>205</v>
      </c>
      <c r="G42" s="44" t="s">
        <v>141</v>
      </c>
      <c r="H42" s="45"/>
      <c r="K42" s="6" t="s">
        <v>222</v>
      </c>
      <c r="L42" s="5" t="s">
        <v>219</v>
      </c>
      <c r="M42" s="5" t="s">
        <v>205</v>
      </c>
      <c r="N42" s="5" t="s">
        <v>141</v>
      </c>
      <c r="O42" s="11"/>
    </row>
    <row r="43" spans="4:15" x14ac:dyDescent="0.3">
      <c r="D43" s="39" t="s">
        <v>223</v>
      </c>
      <c r="E43" s="40" t="s">
        <v>224</v>
      </c>
      <c r="F43" s="40" t="s">
        <v>205</v>
      </c>
      <c r="G43" s="5" t="s">
        <v>141</v>
      </c>
      <c r="H43" s="41"/>
      <c r="K43" s="46" t="s">
        <v>225</v>
      </c>
      <c r="L43" s="44" t="s">
        <v>226</v>
      </c>
      <c r="M43" s="44" t="s">
        <v>205</v>
      </c>
      <c r="N43" s="44" t="s">
        <v>141</v>
      </c>
      <c r="O43" s="47"/>
    </row>
    <row r="44" spans="4:15" x14ac:dyDescent="0.3">
      <c r="D44" s="42" t="s">
        <v>227</v>
      </c>
      <c r="E44" s="43" t="s">
        <v>228</v>
      </c>
      <c r="F44" s="43" t="s">
        <v>140</v>
      </c>
      <c r="G44" s="44" t="s">
        <v>141</v>
      </c>
      <c r="H44" s="45"/>
      <c r="K44" s="6" t="s">
        <v>229</v>
      </c>
      <c r="L44" s="5" t="s">
        <v>230</v>
      </c>
      <c r="M44" s="5" t="s">
        <v>205</v>
      </c>
      <c r="N44" s="5" t="s">
        <v>141</v>
      </c>
      <c r="O44" s="11"/>
    </row>
    <row r="45" spans="4:15" x14ac:dyDescent="0.3">
      <c r="D45" s="39" t="s">
        <v>231</v>
      </c>
      <c r="E45" s="40" t="s">
        <v>232</v>
      </c>
      <c r="F45" s="40" t="s">
        <v>140</v>
      </c>
      <c r="G45" s="5" t="s">
        <v>141</v>
      </c>
      <c r="H45" s="41"/>
      <c r="K45" s="46" t="s">
        <v>220</v>
      </c>
      <c r="L45" s="44" t="s">
        <v>233</v>
      </c>
      <c r="M45" s="44" t="s">
        <v>205</v>
      </c>
      <c r="N45" s="44" t="s">
        <v>141</v>
      </c>
      <c r="O45" s="47"/>
    </row>
    <row r="46" spans="4:15" x14ac:dyDescent="0.3">
      <c r="D46" s="42" t="s">
        <v>234</v>
      </c>
      <c r="E46" s="43" t="s">
        <v>235</v>
      </c>
      <c r="F46" s="43" t="s">
        <v>140</v>
      </c>
      <c r="G46" s="44" t="s">
        <v>141</v>
      </c>
      <c r="H46" s="45"/>
      <c r="K46" s="6" t="s">
        <v>223</v>
      </c>
      <c r="L46" s="5" t="s">
        <v>221</v>
      </c>
      <c r="M46" s="5" t="s">
        <v>205</v>
      </c>
      <c r="N46" s="5" t="s">
        <v>141</v>
      </c>
      <c r="O46" s="11"/>
    </row>
    <row r="47" spans="4:15" x14ac:dyDescent="0.3">
      <c r="D47" s="39" t="s">
        <v>236</v>
      </c>
      <c r="E47" s="40" t="s">
        <v>237</v>
      </c>
      <c r="F47" s="40" t="s">
        <v>140</v>
      </c>
      <c r="G47" s="5" t="s">
        <v>141</v>
      </c>
      <c r="H47" s="41"/>
      <c r="K47" s="46" t="s">
        <v>238</v>
      </c>
      <c r="L47" s="44" t="s">
        <v>224</v>
      </c>
      <c r="M47" s="44" t="s">
        <v>205</v>
      </c>
      <c r="N47" s="44" t="s">
        <v>141</v>
      </c>
      <c r="O47" s="47"/>
    </row>
    <row r="48" spans="4:15" x14ac:dyDescent="0.3">
      <c r="D48" s="42" t="s">
        <v>239</v>
      </c>
      <c r="E48" s="43" t="s">
        <v>240</v>
      </c>
      <c r="F48" s="43" t="s">
        <v>140</v>
      </c>
      <c r="G48" s="44" t="s">
        <v>141</v>
      </c>
      <c r="H48" s="45"/>
      <c r="K48" s="6" t="s">
        <v>241</v>
      </c>
      <c r="L48" s="5" t="s">
        <v>242</v>
      </c>
      <c r="M48" s="5" t="s">
        <v>243</v>
      </c>
      <c r="N48" s="5" t="s">
        <v>141</v>
      </c>
      <c r="O48" s="11"/>
    </row>
    <row r="49" spans="4:15" ht="28.8" x14ac:dyDescent="0.3">
      <c r="D49" s="54" t="s">
        <v>244</v>
      </c>
      <c r="E49" s="40" t="s">
        <v>245</v>
      </c>
      <c r="F49" s="55" t="s">
        <v>246</v>
      </c>
      <c r="G49" s="5" t="s">
        <v>141</v>
      </c>
      <c r="H49" s="41"/>
      <c r="K49" s="46" t="s">
        <v>247</v>
      </c>
      <c r="L49" s="44" t="s">
        <v>248</v>
      </c>
      <c r="M49" s="44" t="s">
        <v>249</v>
      </c>
      <c r="N49" s="44" t="s">
        <v>141</v>
      </c>
      <c r="O49" s="47"/>
    </row>
    <row r="50" spans="4:15" x14ac:dyDescent="0.3">
      <c r="D50" s="54" t="s">
        <v>244</v>
      </c>
      <c r="E50" s="43" t="s">
        <v>250</v>
      </c>
      <c r="F50" s="43" t="s">
        <v>140</v>
      </c>
      <c r="G50" s="44" t="s">
        <v>141</v>
      </c>
      <c r="H50" s="45"/>
      <c r="K50" s="6" t="s">
        <v>251</v>
      </c>
      <c r="L50" s="5" t="s">
        <v>252</v>
      </c>
      <c r="M50" s="5" t="s">
        <v>253</v>
      </c>
      <c r="N50" s="5" t="s">
        <v>141</v>
      </c>
      <c r="O50" s="11"/>
    </row>
    <row r="51" spans="4:15" x14ac:dyDescent="0.3">
      <c r="D51" s="39" t="s">
        <v>254</v>
      </c>
      <c r="E51" s="40" t="s">
        <v>255</v>
      </c>
      <c r="F51" s="40" t="s">
        <v>140</v>
      </c>
      <c r="G51" s="5" t="s">
        <v>141</v>
      </c>
      <c r="H51" s="41"/>
      <c r="K51" s="46" t="s">
        <v>256</v>
      </c>
      <c r="L51" s="44" t="s">
        <v>257</v>
      </c>
      <c r="M51" s="44" t="s">
        <v>243</v>
      </c>
      <c r="N51" s="44" t="s">
        <v>141</v>
      </c>
      <c r="O51" s="47"/>
    </row>
    <row r="52" spans="4:15" x14ac:dyDescent="0.3">
      <c r="D52" s="42" t="s">
        <v>258</v>
      </c>
      <c r="E52" s="43" t="s">
        <v>259</v>
      </c>
      <c r="F52" s="43" t="s">
        <v>140</v>
      </c>
      <c r="G52" s="44" t="s">
        <v>141</v>
      </c>
      <c r="H52" s="45"/>
      <c r="K52" s="6" t="s">
        <v>260</v>
      </c>
      <c r="L52" s="5" t="s">
        <v>261</v>
      </c>
      <c r="M52" s="5" t="s">
        <v>154</v>
      </c>
      <c r="N52" s="5" t="s">
        <v>141</v>
      </c>
      <c r="O52" s="11"/>
    </row>
    <row r="53" spans="4:15" ht="15" thickBot="1" x14ac:dyDescent="0.35">
      <c r="D53" s="56" t="s">
        <v>262</v>
      </c>
      <c r="E53" s="57" t="s">
        <v>263</v>
      </c>
      <c r="F53" s="57" t="s">
        <v>140</v>
      </c>
      <c r="G53" s="8" t="s">
        <v>141</v>
      </c>
      <c r="H53" s="58"/>
      <c r="K53" s="46" t="s">
        <v>264</v>
      </c>
      <c r="L53" s="44" t="s">
        <v>265</v>
      </c>
      <c r="M53" s="44" t="s">
        <v>154</v>
      </c>
      <c r="N53" s="44" t="s">
        <v>141</v>
      </c>
      <c r="O53" s="47"/>
    </row>
    <row r="54" spans="4:15" ht="15" thickBot="1" x14ac:dyDescent="0.35">
      <c r="K54" s="6" t="s">
        <v>266</v>
      </c>
      <c r="L54" s="5" t="s">
        <v>267</v>
      </c>
      <c r="M54" s="5" t="s">
        <v>154</v>
      </c>
      <c r="N54" s="5" t="s">
        <v>268</v>
      </c>
      <c r="O54" s="11"/>
    </row>
    <row r="55" spans="4:15" ht="21.6" thickBot="1" x14ac:dyDescent="0.45">
      <c r="D55" s="310" t="s">
        <v>269</v>
      </c>
      <c r="E55" s="311"/>
      <c r="F55" s="311"/>
      <c r="G55" s="311"/>
      <c r="H55" s="312"/>
      <c r="K55" s="46" t="s">
        <v>227</v>
      </c>
      <c r="L55" s="44" t="s">
        <v>270</v>
      </c>
      <c r="M55" s="44" t="s">
        <v>140</v>
      </c>
      <c r="N55" s="44" t="s">
        <v>141</v>
      </c>
      <c r="O55" s="47"/>
    </row>
    <row r="56" spans="4:15" ht="15" thickBot="1" x14ac:dyDescent="0.35">
      <c r="D56" s="31" t="s">
        <v>145</v>
      </c>
      <c r="E56" s="31" t="s">
        <v>96</v>
      </c>
      <c r="F56" s="31" t="s">
        <v>97</v>
      </c>
      <c r="G56" s="31" t="s">
        <v>98</v>
      </c>
      <c r="H56" s="31" t="s">
        <v>0</v>
      </c>
      <c r="K56" s="59" t="s">
        <v>231</v>
      </c>
      <c r="L56" s="60" t="s">
        <v>271</v>
      </c>
      <c r="M56" s="60" t="s">
        <v>140</v>
      </c>
      <c r="N56" s="61" t="s">
        <v>268</v>
      </c>
      <c r="O56" s="11"/>
    </row>
    <row r="57" spans="4:15" x14ac:dyDescent="0.3">
      <c r="D57" s="33" t="s">
        <v>150</v>
      </c>
      <c r="E57" s="34" t="s">
        <v>272</v>
      </c>
      <c r="F57" s="34" t="s">
        <v>273</v>
      </c>
      <c r="G57" s="34" t="s">
        <v>141</v>
      </c>
      <c r="H57" s="36"/>
      <c r="K57" s="46" t="s">
        <v>234</v>
      </c>
      <c r="L57" s="44" t="s">
        <v>274</v>
      </c>
      <c r="M57" s="44" t="s">
        <v>140</v>
      </c>
      <c r="N57" s="44" t="s">
        <v>141</v>
      </c>
      <c r="O57" s="47"/>
    </row>
    <row r="58" spans="4:15" ht="29.4" thickBot="1" x14ac:dyDescent="0.35">
      <c r="D58" s="56" t="s">
        <v>138</v>
      </c>
      <c r="E58" s="57" t="s">
        <v>275</v>
      </c>
      <c r="F58" s="62" t="s">
        <v>276</v>
      </c>
      <c r="G58" s="57" t="s">
        <v>141</v>
      </c>
      <c r="H58" s="58"/>
      <c r="K58" s="6" t="s">
        <v>236</v>
      </c>
      <c r="L58" s="5" t="s">
        <v>237</v>
      </c>
      <c r="M58" s="5" t="s">
        <v>140</v>
      </c>
      <c r="N58" s="5" t="s">
        <v>141</v>
      </c>
      <c r="O58" s="11"/>
    </row>
    <row r="59" spans="4:15" x14ac:dyDescent="0.3">
      <c r="K59" s="46" t="s">
        <v>239</v>
      </c>
      <c r="L59" s="44" t="s">
        <v>277</v>
      </c>
      <c r="M59" s="44" t="s">
        <v>140</v>
      </c>
      <c r="N59" s="44" t="s">
        <v>141</v>
      </c>
      <c r="O59" s="47"/>
    </row>
    <row r="60" spans="4:15" x14ac:dyDescent="0.3">
      <c r="K60" s="6" t="s">
        <v>278</v>
      </c>
      <c r="L60" s="5" t="s">
        <v>279</v>
      </c>
      <c r="M60" s="5" t="s">
        <v>140</v>
      </c>
      <c r="N60" s="5" t="s">
        <v>141</v>
      </c>
      <c r="O60" s="11"/>
    </row>
    <row r="61" spans="4:15" x14ac:dyDescent="0.3">
      <c r="K61" s="46" t="s">
        <v>280</v>
      </c>
      <c r="L61" s="44" t="s">
        <v>281</v>
      </c>
      <c r="M61" s="44" t="s">
        <v>140</v>
      </c>
      <c r="N61" s="44" t="s">
        <v>141</v>
      </c>
      <c r="O61" s="47"/>
    </row>
    <row r="62" spans="4:15" x14ac:dyDescent="0.3">
      <c r="K62" s="6" t="s">
        <v>254</v>
      </c>
      <c r="L62" s="5" t="s">
        <v>282</v>
      </c>
      <c r="M62" s="5" t="s">
        <v>140</v>
      </c>
      <c r="N62" s="5" t="s">
        <v>141</v>
      </c>
      <c r="O62" s="11"/>
    </row>
    <row r="63" spans="4:15" x14ac:dyDescent="0.3">
      <c r="K63" s="46" t="s">
        <v>262</v>
      </c>
      <c r="L63" s="44" t="s">
        <v>263</v>
      </c>
      <c r="M63" s="44" t="s">
        <v>140</v>
      </c>
      <c r="N63" s="44" t="s">
        <v>141</v>
      </c>
      <c r="O63" s="47"/>
    </row>
    <row r="64" spans="4:15" x14ac:dyDescent="0.3">
      <c r="K64" s="6" t="s">
        <v>283</v>
      </c>
      <c r="L64" s="5" t="s">
        <v>284</v>
      </c>
      <c r="M64" s="5" t="s">
        <v>285</v>
      </c>
      <c r="N64" s="5" t="s">
        <v>141</v>
      </c>
      <c r="O64" s="11"/>
    </row>
    <row r="65" spans="11:15" ht="15" thickBot="1" x14ac:dyDescent="0.35">
      <c r="K65" s="52" t="s">
        <v>214</v>
      </c>
      <c r="L65" s="50" t="s">
        <v>215</v>
      </c>
      <c r="M65" s="50" t="s">
        <v>205</v>
      </c>
      <c r="N65" s="50" t="s">
        <v>141</v>
      </c>
      <c r="O65" s="53"/>
    </row>
    <row r="66" spans="11:15" ht="15" thickBot="1" x14ac:dyDescent="0.35"/>
    <row r="67" spans="11:15" ht="21.6" thickBot="1" x14ac:dyDescent="0.45">
      <c r="K67" s="310" t="s">
        <v>286</v>
      </c>
      <c r="L67" s="311"/>
      <c r="M67" s="311"/>
      <c r="N67" s="311"/>
      <c r="O67" s="312"/>
    </row>
    <row r="68" spans="11:15" ht="15" thickBot="1" x14ac:dyDescent="0.35">
      <c r="K68" s="31" t="s">
        <v>95</v>
      </c>
      <c r="L68" s="31" t="s">
        <v>96</v>
      </c>
      <c r="M68" s="31" t="s">
        <v>97</v>
      </c>
      <c r="N68" s="31" t="s">
        <v>98</v>
      </c>
      <c r="O68" s="31" t="s">
        <v>0</v>
      </c>
    </row>
    <row r="69" spans="11:15" x14ac:dyDescent="0.3">
      <c r="K69" s="37" t="s">
        <v>150</v>
      </c>
      <c r="L69" s="35" t="s">
        <v>287</v>
      </c>
      <c r="M69" s="35" t="s">
        <v>273</v>
      </c>
      <c r="N69" s="35" t="s">
        <v>141</v>
      </c>
      <c r="O69" s="38"/>
    </row>
    <row r="70" spans="11:15" x14ac:dyDescent="0.3">
      <c r="K70" s="6" t="s">
        <v>138</v>
      </c>
      <c r="L70" s="5" t="s">
        <v>287</v>
      </c>
      <c r="M70" s="5" t="s">
        <v>276</v>
      </c>
      <c r="N70" s="5" t="s">
        <v>141</v>
      </c>
      <c r="O70" s="11"/>
    </row>
    <row r="71" spans="11:15" x14ac:dyDescent="0.3">
      <c r="K71" s="46" t="s">
        <v>288</v>
      </c>
      <c r="L71" s="44" t="s">
        <v>289</v>
      </c>
      <c r="M71" s="44" t="s">
        <v>154</v>
      </c>
      <c r="N71" s="44" t="s">
        <v>141</v>
      </c>
      <c r="O71" s="47"/>
    </row>
    <row r="72" spans="11:15" x14ac:dyDescent="0.3">
      <c r="K72" s="6" t="s">
        <v>290</v>
      </c>
      <c r="L72" s="5" t="s">
        <v>291</v>
      </c>
      <c r="M72" s="5" t="s">
        <v>154</v>
      </c>
      <c r="N72" s="5" t="s">
        <v>141</v>
      </c>
      <c r="O72" s="11"/>
    </row>
    <row r="73" spans="11:15" x14ac:dyDescent="0.3">
      <c r="K73" s="46" t="s">
        <v>292</v>
      </c>
      <c r="L73" s="44" t="s">
        <v>293</v>
      </c>
      <c r="M73" s="44" t="s">
        <v>154</v>
      </c>
      <c r="N73" s="44" t="s">
        <v>141</v>
      </c>
      <c r="O73" s="47"/>
    </row>
    <row r="74" spans="11:15" x14ac:dyDescent="0.3">
      <c r="K74" s="6" t="s">
        <v>294</v>
      </c>
      <c r="L74" s="5" t="s">
        <v>295</v>
      </c>
      <c r="M74" s="5" t="s">
        <v>154</v>
      </c>
      <c r="N74" s="5" t="s">
        <v>141</v>
      </c>
      <c r="O74" s="11"/>
    </row>
    <row r="75" spans="11:15" x14ac:dyDescent="0.3">
      <c r="K75" s="46" t="s">
        <v>296</v>
      </c>
      <c r="L75" s="44" t="s">
        <v>297</v>
      </c>
      <c r="M75" s="44" t="s">
        <v>154</v>
      </c>
      <c r="N75" s="44" t="s">
        <v>141</v>
      </c>
      <c r="O75" s="47"/>
    </row>
    <row r="76" spans="11:15" ht="15" thickBot="1" x14ac:dyDescent="0.35">
      <c r="K76" s="7" t="s">
        <v>298</v>
      </c>
      <c r="L76" s="8" t="s">
        <v>299</v>
      </c>
      <c r="M76" s="8" t="s">
        <v>154</v>
      </c>
      <c r="N76" s="8" t="s">
        <v>141</v>
      </c>
      <c r="O76" s="10"/>
    </row>
  </sheetData>
  <mergeCells count="10">
    <mergeCell ref="D34:H34"/>
    <mergeCell ref="K35:O35"/>
    <mergeCell ref="D55:H55"/>
    <mergeCell ref="K67:O67"/>
    <mergeCell ref="D6:H6"/>
    <mergeCell ref="K6:O6"/>
    <mergeCell ref="D8:H8"/>
    <mergeCell ref="K8:O8"/>
    <mergeCell ref="K17:O17"/>
    <mergeCell ref="D20:H20"/>
  </mergeCells>
  <conditionalFormatting sqref="G10:G18">
    <cfRule type="containsText" dxfId="29" priority="14" operator="containsText" text="Alleato">
      <formula>NOT(ISERROR(SEARCH("Alleato",G10)))</formula>
    </cfRule>
    <cfRule type="containsText" dxfId="28" priority="15" operator="containsText" text="Alleato ">
      <formula>NOT(ISERROR(SEARCH("Alleato ",G10)))</formula>
    </cfRule>
    <cfRule type="containsText" dxfId="27" priority="16" operator="containsText" text="Mike">
      <formula>NOT(ISERROR(SEARCH("Mike",G10)))</formula>
    </cfRule>
  </conditionalFormatting>
  <conditionalFormatting sqref="G22:G32">
    <cfRule type="containsText" dxfId="26" priority="12" operator="containsText" text="Mike">
      <formula>NOT(ISERROR(SEARCH("Mike",G22)))</formula>
    </cfRule>
    <cfRule type="containsText" dxfId="25" priority="13" operator="containsText" text="Alleato">
      <formula>NOT(ISERROR(SEARCH("Alleato",G22)))</formula>
    </cfRule>
  </conditionalFormatting>
  <conditionalFormatting sqref="G36:G53">
    <cfRule type="containsText" dxfId="24" priority="10" operator="containsText" text="Alleato">
      <formula>NOT(ISERROR(SEARCH("Alleato",G36)))</formula>
    </cfRule>
    <cfRule type="containsText" dxfId="23" priority="11" operator="containsText" text="MIke">
      <formula>NOT(ISERROR(SEARCH("MIke",G36)))</formula>
    </cfRule>
  </conditionalFormatting>
  <conditionalFormatting sqref="G57:G58">
    <cfRule type="containsText" dxfId="22" priority="8" operator="containsText" text="Alleato">
      <formula>NOT(ISERROR(SEARCH("Alleato",G57)))</formula>
    </cfRule>
    <cfRule type="containsText" dxfId="21" priority="9" operator="containsText" text="Mike">
      <formula>NOT(ISERROR(SEARCH("Mike",G57)))</formula>
    </cfRule>
  </conditionalFormatting>
  <conditionalFormatting sqref="N10:N15">
    <cfRule type="containsText" dxfId="20" priority="6" operator="containsText" text="Alleato">
      <formula>NOT(ISERROR(SEARCH("Alleato",N10)))</formula>
    </cfRule>
    <cfRule type="containsText" dxfId="19" priority="7" operator="containsText" text="Mike">
      <formula>NOT(ISERROR(SEARCH("Mike",N10)))</formula>
    </cfRule>
  </conditionalFormatting>
  <conditionalFormatting sqref="N19:N33">
    <cfRule type="containsText" dxfId="18" priority="4" operator="containsText" text="Alleato">
      <formula>NOT(ISERROR(SEARCH("Alleato",N19)))</formula>
    </cfRule>
    <cfRule type="containsText" dxfId="17" priority="5" operator="containsText" text="Mike">
      <formula>NOT(ISERROR(SEARCH("Mike",N19)))</formula>
    </cfRule>
  </conditionalFormatting>
  <conditionalFormatting sqref="N37:N65">
    <cfRule type="cellIs" dxfId="16" priority="3" operator="equal">
      <formula>"Mike"</formula>
    </cfRule>
  </conditionalFormatting>
  <conditionalFormatting sqref="N69:N76">
    <cfRule type="containsText" dxfId="15" priority="1" operator="containsText" text="Alleato">
      <formula>NOT(ISERROR(SEARCH("Alleato",N69)))</formula>
    </cfRule>
    <cfRule type="containsText" dxfId="14" priority="2" operator="containsText" text="Mike">
      <formula>NOT(ISERROR(SEARCH("Mike",N69)))</formula>
    </cfRule>
  </conditionalFormatting>
  <dataValidations count="2">
    <dataValidation type="list" allowBlank="1" showInputMessage="1" showErrorMessage="1" sqref="G22:G32 G36:G53 G57:G58 N10:N15 N19:N33 N37:N65 N69:N76" xr:uid="{EBB1D3CD-4FF9-4120-98EE-BE90467C1AC4}">
      <formula1>"Mike, Alleato"</formula1>
    </dataValidation>
    <dataValidation type="list" allowBlank="1" showInputMessage="1" showErrorMessage="1" sqref="G10:G18" xr:uid="{A972A14B-6E61-4EBE-85DA-0B1BC49CBFA0}">
      <formula1>"Alleato, Mike"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25F4D-60DC-4610-B998-DA43FE968F06}">
  <sheetPr>
    <tabColor theme="7"/>
  </sheetPr>
  <dimension ref="D4:J9"/>
  <sheetViews>
    <sheetView topLeftCell="B1" workbookViewId="0">
      <selection activeCell="I10" sqref="I10"/>
    </sheetView>
  </sheetViews>
  <sheetFormatPr defaultRowHeight="14.4" x14ac:dyDescent="0.3"/>
  <cols>
    <col min="4" max="4" width="28" bestFit="1" customWidth="1"/>
    <col min="5" max="5" width="17.33203125" bestFit="1" customWidth="1"/>
    <col min="6" max="6" width="15.88671875" bestFit="1" customWidth="1"/>
    <col min="7" max="7" width="18.109375" bestFit="1" customWidth="1"/>
    <col min="8" max="8" width="16.88671875" customWidth="1"/>
    <col min="9" max="9" width="49.6640625" customWidth="1"/>
    <col min="10" max="10" width="42.88671875" customWidth="1"/>
    <col min="11" max="11" width="17.5546875" bestFit="1" customWidth="1"/>
  </cols>
  <sheetData>
    <row r="4" spans="4:10" ht="15" thickBot="1" x14ac:dyDescent="0.35"/>
    <row r="5" spans="4:10" ht="59.25" customHeight="1" thickBot="1" x14ac:dyDescent="0.35">
      <c r="D5" s="321" t="s">
        <v>300</v>
      </c>
      <c r="E5" s="322"/>
      <c r="F5" s="322"/>
      <c r="G5" s="322"/>
      <c r="H5" s="322"/>
      <c r="I5" s="322"/>
      <c r="J5" s="323"/>
    </row>
    <row r="6" spans="4:10" ht="52.5" customHeight="1" thickBot="1" x14ac:dyDescent="0.35">
      <c r="D6" s="63" t="s">
        <v>301</v>
      </c>
      <c r="E6" s="63" t="s">
        <v>302</v>
      </c>
      <c r="F6" s="63" t="s">
        <v>303</v>
      </c>
      <c r="G6" s="63" t="s">
        <v>304</v>
      </c>
      <c r="H6" s="63" t="s">
        <v>305</v>
      </c>
      <c r="I6" s="63" t="s">
        <v>0</v>
      </c>
      <c r="J6" s="64" t="s">
        <v>306</v>
      </c>
    </row>
    <row r="7" spans="4:10" ht="74.25" customHeight="1" thickBot="1" x14ac:dyDescent="0.35">
      <c r="D7" s="65" t="s">
        <v>307</v>
      </c>
      <c r="E7" s="66" t="s">
        <v>86</v>
      </c>
      <c r="F7" s="67" t="s">
        <v>308</v>
      </c>
      <c r="G7" s="67" t="s">
        <v>86</v>
      </c>
      <c r="H7" s="67" t="s">
        <v>309</v>
      </c>
      <c r="I7" s="70" t="s">
        <v>310</v>
      </c>
      <c r="J7" s="69" t="s">
        <v>311</v>
      </c>
    </row>
    <row r="8" spans="4:10" ht="74.25" customHeight="1" thickBot="1" x14ac:dyDescent="0.35">
      <c r="D8" s="65" t="s">
        <v>312</v>
      </c>
      <c r="E8" s="66" t="s">
        <v>86</v>
      </c>
      <c r="F8" s="67" t="s">
        <v>86</v>
      </c>
      <c r="G8" s="67" t="s">
        <v>86</v>
      </c>
      <c r="H8" s="67" t="s">
        <v>309</v>
      </c>
      <c r="I8" s="68" t="s">
        <v>313</v>
      </c>
      <c r="J8" s="70"/>
    </row>
    <row r="9" spans="4:10" ht="74.25" customHeight="1" thickBot="1" x14ac:dyDescent="0.35">
      <c r="D9" s="65" t="s">
        <v>314</v>
      </c>
      <c r="E9" s="71" t="s">
        <v>86</v>
      </c>
      <c r="F9" s="72" t="s">
        <v>315</v>
      </c>
      <c r="G9" s="72" t="s">
        <v>86</v>
      </c>
      <c r="H9" s="72" t="s">
        <v>309</v>
      </c>
      <c r="I9" s="73" t="s">
        <v>316</v>
      </c>
      <c r="J9" s="74"/>
    </row>
  </sheetData>
  <mergeCells count="1">
    <mergeCell ref="D5:J5"/>
  </mergeCells>
  <hyperlinks>
    <hyperlink ref="J7" r:id="rId1" display="Submitted Centerpoint Energy (Gas). New Service Application " xr:uid="{658DDBF9-6346-486F-8103-768E6E82ED6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3467-9B75-49B9-85F8-3C7D8FB4F010}">
  <sheetPr>
    <tabColor theme="8"/>
  </sheetPr>
  <dimension ref="C1:J44"/>
  <sheetViews>
    <sheetView workbookViewId="0">
      <selection activeCell="J30" sqref="J30"/>
    </sheetView>
  </sheetViews>
  <sheetFormatPr defaultRowHeight="14.4" x14ac:dyDescent="0.3"/>
  <cols>
    <col min="3" max="3" width="13.109375" customWidth="1"/>
    <col min="4" max="4" width="19.88671875" customWidth="1"/>
    <col min="5" max="5" width="16.5546875" bestFit="1" customWidth="1"/>
    <col min="6" max="6" width="11.5546875" bestFit="1" customWidth="1"/>
    <col min="7" max="7" width="15.109375" bestFit="1" customWidth="1"/>
    <col min="8" max="8" width="12.109375" customWidth="1"/>
    <col min="9" max="9" width="20.33203125" customWidth="1"/>
    <col min="10" max="10" width="76.33203125" customWidth="1"/>
  </cols>
  <sheetData>
    <row r="1" spans="3:10" ht="15" thickBot="1" x14ac:dyDescent="0.35"/>
    <row r="2" spans="3:10" ht="23.25" customHeight="1" thickBot="1" x14ac:dyDescent="0.35">
      <c r="D2" s="324" t="s">
        <v>317</v>
      </c>
      <c r="E2" s="325"/>
      <c r="F2" s="326"/>
      <c r="G2" s="201"/>
      <c r="H2" s="327" t="s">
        <v>318</v>
      </c>
      <c r="I2" s="328"/>
    </row>
    <row r="3" spans="3:10" ht="15" thickBot="1" x14ac:dyDescent="0.35"/>
    <row r="4" spans="3:10" ht="53.25" customHeight="1" thickBot="1" x14ac:dyDescent="0.35">
      <c r="D4" s="329" t="s">
        <v>319</v>
      </c>
      <c r="E4" s="330"/>
      <c r="F4" s="330"/>
      <c r="G4" s="330"/>
      <c r="H4" s="330"/>
      <c r="I4" s="330"/>
      <c r="J4" s="331"/>
    </row>
    <row r="5" spans="3:10" ht="35.25" customHeight="1" thickBot="1" x14ac:dyDescent="0.35">
      <c r="C5" s="162" t="s">
        <v>320</v>
      </c>
      <c r="D5" s="163" t="s">
        <v>321</v>
      </c>
      <c r="E5" s="164" t="s">
        <v>322</v>
      </c>
      <c r="F5" s="164" t="s">
        <v>323</v>
      </c>
      <c r="G5" s="164" t="s">
        <v>324</v>
      </c>
      <c r="H5" s="165" t="s">
        <v>325</v>
      </c>
      <c r="I5" s="166" t="s">
        <v>326</v>
      </c>
      <c r="J5" s="31" t="s">
        <v>0</v>
      </c>
    </row>
    <row r="6" spans="3:10" ht="45.75" customHeight="1" x14ac:dyDescent="0.3">
      <c r="C6" s="16"/>
      <c r="D6" s="167" t="s">
        <v>327</v>
      </c>
      <c r="E6" s="168" t="s">
        <v>328</v>
      </c>
      <c r="F6" s="169">
        <v>-7200</v>
      </c>
      <c r="G6" s="170">
        <v>45958</v>
      </c>
      <c r="H6" s="171" t="s">
        <v>10</v>
      </c>
      <c r="I6" s="172" t="s">
        <v>8</v>
      </c>
      <c r="J6" s="173"/>
    </row>
    <row r="7" spans="3:10" ht="45.75" customHeight="1" x14ac:dyDescent="0.3">
      <c r="C7" s="17"/>
      <c r="D7" s="174" t="s">
        <v>329</v>
      </c>
      <c r="E7" s="5" t="s">
        <v>67</v>
      </c>
      <c r="F7" s="175">
        <v>83756</v>
      </c>
      <c r="G7" s="176">
        <v>45958</v>
      </c>
      <c r="H7" s="177" t="s">
        <v>10</v>
      </c>
      <c r="I7" s="12" t="s">
        <v>8</v>
      </c>
      <c r="J7" s="178"/>
    </row>
    <row r="8" spans="3:10" ht="45.75" customHeight="1" x14ac:dyDescent="0.3">
      <c r="C8" s="17"/>
      <c r="D8" s="174" t="s">
        <v>330</v>
      </c>
      <c r="E8" s="5" t="s">
        <v>67</v>
      </c>
      <c r="F8" s="175">
        <v>1320</v>
      </c>
      <c r="G8" s="176">
        <v>45958</v>
      </c>
      <c r="H8" s="177" t="s">
        <v>10</v>
      </c>
      <c r="I8" s="12" t="s">
        <v>8</v>
      </c>
      <c r="J8" s="178"/>
    </row>
    <row r="9" spans="3:10" ht="45.75" customHeight="1" x14ac:dyDescent="0.3">
      <c r="C9" s="17"/>
      <c r="D9" s="174" t="s">
        <v>331</v>
      </c>
      <c r="E9" s="5" t="s">
        <v>332</v>
      </c>
      <c r="F9" s="175">
        <v>2100</v>
      </c>
      <c r="G9" s="176">
        <v>45958</v>
      </c>
      <c r="H9" s="177" t="s">
        <v>10</v>
      </c>
      <c r="I9" s="12" t="s">
        <v>8</v>
      </c>
      <c r="J9" s="178" t="s">
        <v>333</v>
      </c>
    </row>
    <row r="10" spans="3:10" ht="45.75" customHeight="1" x14ac:dyDescent="0.3">
      <c r="C10" s="17"/>
      <c r="D10" s="174" t="s">
        <v>334</v>
      </c>
      <c r="E10" s="5" t="s">
        <v>335</v>
      </c>
      <c r="F10" s="175">
        <v>5192</v>
      </c>
      <c r="G10" s="5" t="s">
        <v>336</v>
      </c>
      <c r="H10" s="12" t="s">
        <v>8</v>
      </c>
      <c r="I10" s="12" t="s">
        <v>8</v>
      </c>
      <c r="J10" s="179" t="s">
        <v>337</v>
      </c>
    </row>
    <row r="11" spans="3:10" ht="45.75" customHeight="1" x14ac:dyDescent="0.3">
      <c r="C11" s="17"/>
      <c r="D11" s="174" t="s">
        <v>338</v>
      </c>
      <c r="E11" s="5" t="s">
        <v>339</v>
      </c>
      <c r="F11" s="175">
        <v>2385.44</v>
      </c>
      <c r="G11" s="5" t="s">
        <v>336</v>
      </c>
      <c r="H11" s="12" t="s">
        <v>8</v>
      </c>
      <c r="I11" s="12" t="s">
        <v>8</v>
      </c>
      <c r="J11" s="178" t="s">
        <v>340</v>
      </c>
    </row>
    <row r="12" spans="3:10" ht="45.75" customHeight="1" x14ac:dyDescent="0.3">
      <c r="C12" s="17"/>
      <c r="D12" s="174" t="s">
        <v>341</v>
      </c>
      <c r="E12" s="5" t="s">
        <v>335</v>
      </c>
      <c r="F12" s="175">
        <v>17610</v>
      </c>
      <c r="G12" s="5" t="s">
        <v>336</v>
      </c>
      <c r="H12" s="12" t="s">
        <v>10</v>
      </c>
      <c r="I12" s="12" t="s">
        <v>8</v>
      </c>
      <c r="J12" s="180" t="s">
        <v>342</v>
      </c>
    </row>
    <row r="13" spans="3:10" ht="45.75" customHeight="1" x14ac:dyDescent="0.3">
      <c r="C13" s="17"/>
      <c r="D13" s="174" t="s">
        <v>343</v>
      </c>
      <c r="E13" s="5" t="s">
        <v>344</v>
      </c>
      <c r="F13" s="175">
        <v>16814.87</v>
      </c>
      <c r="G13" s="5" t="s">
        <v>336</v>
      </c>
      <c r="H13" s="12" t="s">
        <v>8</v>
      </c>
      <c r="I13" s="12" t="s">
        <v>8</v>
      </c>
      <c r="J13" s="178" t="s">
        <v>345</v>
      </c>
    </row>
    <row r="14" spans="3:10" ht="45.75" customHeight="1" x14ac:dyDescent="0.3">
      <c r="C14" s="17"/>
      <c r="D14" s="174" t="s">
        <v>346</v>
      </c>
      <c r="E14" s="5" t="s">
        <v>347</v>
      </c>
      <c r="F14" s="175">
        <v>3300</v>
      </c>
      <c r="G14" s="5" t="s">
        <v>336</v>
      </c>
      <c r="H14" s="12" t="s">
        <v>10</v>
      </c>
      <c r="I14" s="12" t="s">
        <v>8</v>
      </c>
      <c r="J14" s="178"/>
    </row>
    <row r="15" spans="3:10" ht="45.75" customHeight="1" x14ac:dyDescent="0.3">
      <c r="C15" s="17"/>
      <c r="D15" s="174" t="s">
        <v>348</v>
      </c>
      <c r="E15" s="5" t="s">
        <v>347</v>
      </c>
      <c r="F15" s="175">
        <v>10002</v>
      </c>
      <c r="G15" s="5" t="s">
        <v>336</v>
      </c>
      <c r="H15" s="12" t="s">
        <v>8</v>
      </c>
      <c r="I15" s="12" t="s">
        <v>8</v>
      </c>
      <c r="J15" s="178" t="s">
        <v>349</v>
      </c>
    </row>
    <row r="16" spans="3:10" ht="45.75" customHeight="1" x14ac:dyDescent="0.3">
      <c r="C16" s="17"/>
      <c r="D16" s="174" t="s">
        <v>350</v>
      </c>
      <c r="E16" s="5" t="s">
        <v>347</v>
      </c>
      <c r="F16" s="175">
        <v>50150</v>
      </c>
      <c r="G16" s="5" t="s">
        <v>336</v>
      </c>
      <c r="H16" s="12" t="s">
        <v>8</v>
      </c>
      <c r="I16" s="12" t="s">
        <v>8</v>
      </c>
      <c r="J16" s="178" t="s">
        <v>349</v>
      </c>
    </row>
    <row r="17" spans="3:10" ht="45.75" customHeight="1" x14ac:dyDescent="0.3">
      <c r="C17" s="17"/>
      <c r="D17" s="174" t="s">
        <v>351</v>
      </c>
      <c r="E17" s="5" t="s">
        <v>352</v>
      </c>
      <c r="F17" s="175">
        <v>10000</v>
      </c>
      <c r="G17" s="176">
        <v>45960</v>
      </c>
      <c r="H17" s="177" t="s">
        <v>10</v>
      </c>
      <c r="I17" s="177" t="s">
        <v>8</v>
      </c>
      <c r="J17" s="178"/>
    </row>
    <row r="18" spans="3:10" ht="45.75" customHeight="1" x14ac:dyDescent="0.3">
      <c r="C18" s="17"/>
      <c r="D18" s="174" t="s">
        <v>353</v>
      </c>
      <c r="E18" s="5" t="s">
        <v>84</v>
      </c>
      <c r="F18" s="175">
        <v>24302.5</v>
      </c>
      <c r="G18" s="176">
        <v>45959</v>
      </c>
      <c r="H18" s="12" t="s">
        <v>10</v>
      </c>
      <c r="I18" s="12" t="s">
        <v>8</v>
      </c>
      <c r="J18" s="181"/>
    </row>
    <row r="19" spans="3:10" ht="45.75" customHeight="1" x14ac:dyDescent="0.3">
      <c r="C19" s="17"/>
      <c r="D19" s="174" t="s">
        <v>354</v>
      </c>
      <c r="E19" s="5" t="s">
        <v>355</v>
      </c>
      <c r="F19" s="175">
        <v>5720</v>
      </c>
      <c r="G19" s="176">
        <v>45958</v>
      </c>
      <c r="H19" s="177" t="s">
        <v>10</v>
      </c>
      <c r="I19" s="12" t="s">
        <v>8</v>
      </c>
      <c r="J19" s="180" t="s">
        <v>356</v>
      </c>
    </row>
    <row r="20" spans="3:10" ht="45.75" customHeight="1" x14ac:dyDescent="0.3">
      <c r="C20" s="17"/>
      <c r="D20" s="174" t="s">
        <v>357</v>
      </c>
      <c r="E20" s="5" t="s">
        <v>355</v>
      </c>
      <c r="F20" s="175">
        <v>9440</v>
      </c>
      <c r="G20" s="176">
        <v>45958</v>
      </c>
      <c r="H20" s="12" t="s">
        <v>10</v>
      </c>
      <c r="I20" s="12" t="s">
        <v>8</v>
      </c>
      <c r="J20" s="180" t="s">
        <v>356</v>
      </c>
    </row>
    <row r="21" spans="3:10" ht="45.75" customHeight="1" x14ac:dyDescent="0.3">
      <c r="C21" s="17"/>
      <c r="D21" s="174" t="s">
        <v>358</v>
      </c>
      <c r="E21" s="5" t="s">
        <v>355</v>
      </c>
      <c r="F21" s="175">
        <v>14610</v>
      </c>
      <c r="G21" s="176">
        <v>45959</v>
      </c>
      <c r="H21" s="12" t="s">
        <v>10</v>
      </c>
      <c r="I21" s="12" t="s">
        <v>8</v>
      </c>
      <c r="J21" s="181" t="s">
        <v>359</v>
      </c>
    </row>
    <row r="22" spans="3:10" ht="45.75" customHeight="1" x14ac:dyDescent="0.3">
      <c r="C22" s="17" t="s">
        <v>360</v>
      </c>
      <c r="D22" s="174" t="s">
        <v>361</v>
      </c>
      <c r="E22" s="5" t="s">
        <v>362</v>
      </c>
      <c r="F22" s="175">
        <v>1800</v>
      </c>
      <c r="G22" s="182" t="s">
        <v>363</v>
      </c>
      <c r="H22" s="12" t="s">
        <v>8</v>
      </c>
      <c r="I22" s="12" t="s">
        <v>8</v>
      </c>
      <c r="J22" s="183" t="s">
        <v>364</v>
      </c>
    </row>
    <row r="23" spans="3:10" ht="45.75" customHeight="1" x14ac:dyDescent="0.3">
      <c r="C23" s="17" t="s">
        <v>365</v>
      </c>
      <c r="D23" s="174" t="s">
        <v>366</v>
      </c>
      <c r="E23" s="5" t="s">
        <v>78</v>
      </c>
      <c r="F23" s="175" t="s">
        <v>86</v>
      </c>
      <c r="G23" s="5"/>
      <c r="H23" s="12" t="s">
        <v>8</v>
      </c>
      <c r="I23" s="12"/>
      <c r="J23" s="178" t="s">
        <v>367</v>
      </c>
    </row>
    <row r="24" spans="3:10" ht="45.75" customHeight="1" x14ac:dyDescent="0.3">
      <c r="C24" s="17" t="s">
        <v>368</v>
      </c>
      <c r="D24" s="174" t="s">
        <v>369</v>
      </c>
      <c r="E24" s="5" t="s">
        <v>78</v>
      </c>
      <c r="F24" s="175">
        <v>-1545</v>
      </c>
      <c r="G24" s="176">
        <v>45959</v>
      </c>
      <c r="H24" s="12" t="s">
        <v>10</v>
      </c>
      <c r="I24" s="12" t="s">
        <v>8</v>
      </c>
      <c r="J24" s="178"/>
    </row>
    <row r="25" spans="3:10" ht="45.75" customHeight="1" x14ac:dyDescent="0.3">
      <c r="C25" s="17" t="s">
        <v>370</v>
      </c>
      <c r="D25" s="174" t="s">
        <v>371</v>
      </c>
      <c r="E25" s="5" t="s">
        <v>372</v>
      </c>
      <c r="F25" s="175">
        <v>23650</v>
      </c>
      <c r="G25" s="176">
        <v>45959</v>
      </c>
      <c r="H25" s="12" t="s">
        <v>10</v>
      </c>
      <c r="I25" s="12" t="s">
        <v>8</v>
      </c>
      <c r="J25" s="178"/>
    </row>
    <row r="26" spans="3:10" ht="45.75" customHeight="1" thickBot="1" x14ac:dyDescent="0.35">
      <c r="C26" s="184" t="s">
        <v>373</v>
      </c>
      <c r="D26" s="185" t="s">
        <v>374</v>
      </c>
      <c r="E26" s="8" t="s">
        <v>84</v>
      </c>
      <c r="F26" s="186">
        <v>2270</v>
      </c>
      <c r="G26" s="8"/>
      <c r="H26" s="9" t="s">
        <v>8</v>
      </c>
      <c r="I26" s="9" t="s">
        <v>8</v>
      </c>
      <c r="J26" s="187" t="s">
        <v>375</v>
      </c>
    </row>
    <row r="27" spans="3:10" ht="45.75" customHeight="1" thickBot="1" x14ac:dyDescent="0.35">
      <c r="C27" s="184" t="s">
        <v>376</v>
      </c>
      <c r="D27" s="185" t="s">
        <v>377</v>
      </c>
      <c r="E27" s="8" t="s">
        <v>355</v>
      </c>
      <c r="F27" s="186">
        <v>5500</v>
      </c>
      <c r="G27" s="188">
        <v>45959</v>
      </c>
      <c r="H27" s="9" t="s">
        <v>8</v>
      </c>
      <c r="I27" s="9"/>
      <c r="J27" s="187"/>
    </row>
    <row r="28" spans="3:10" ht="45.75" customHeight="1" thickBot="1" x14ac:dyDescent="0.35">
      <c r="C28" s="184" t="s">
        <v>378</v>
      </c>
      <c r="D28" s="185" t="s">
        <v>379</v>
      </c>
      <c r="E28" s="8" t="s">
        <v>55</v>
      </c>
      <c r="F28" s="186">
        <v>-1915</v>
      </c>
      <c r="G28" s="188">
        <v>45960</v>
      </c>
      <c r="H28" s="9" t="s">
        <v>10</v>
      </c>
      <c r="I28" s="9" t="s">
        <v>8</v>
      </c>
      <c r="J28" s="187"/>
    </row>
    <row r="29" spans="3:10" ht="45.75" customHeight="1" thickBot="1" x14ac:dyDescent="0.35">
      <c r="C29" s="184" t="s">
        <v>380</v>
      </c>
      <c r="D29" s="185" t="s">
        <v>381</v>
      </c>
      <c r="E29" s="8" t="s">
        <v>339</v>
      </c>
      <c r="F29" s="186">
        <v>606.69000000000005</v>
      </c>
      <c r="G29" s="188">
        <v>45965</v>
      </c>
      <c r="H29" s="9" t="s">
        <v>10</v>
      </c>
      <c r="I29" s="9" t="s">
        <v>8</v>
      </c>
      <c r="J29" s="187" t="s">
        <v>382</v>
      </c>
    </row>
    <row r="30" spans="3:10" ht="45" customHeight="1" thickBot="1" x14ac:dyDescent="0.35">
      <c r="C30" s="184" t="s">
        <v>380</v>
      </c>
      <c r="D30" s="185" t="s">
        <v>383</v>
      </c>
      <c r="E30" s="8" t="s">
        <v>384</v>
      </c>
      <c r="F30" s="186">
        <v>606.69000000000005</v>
      </c>
      <c r="G30" s="188">
        <v>45965</v>
      </c>
      <c r="H30" s="9" t="s">
        <v>10</v>
      </c>
      <c r="I30" s="9" t="s">
        <v>10</v>
      </c>
      <c r="J30" s="187" t="s">
        <v>382</v>
      </c>
    </row>
    <row r="31" spans="3:10" ht="45" customHeight="1" thickBot="1" x14ac:dyDescent="0.35">
      <c r="C31" s="184" t="s">
        <v>385</v>
      </c>
      <c r="D31" s="185" t="s">
        <v>386</v>
      </c>
      <c r="E31" s="8" t="s">
        <v>335</v>
      </c>
      <c r="F31" s="186">
        <v>19000</v>
      </c>
      <c r="G31" s="188">
        <v>45971</v>
      </c>
      <c r="H31" s="9" t="s">
        <v>10</v>
      </c>
      <c r="I31" s="9" t="s">
        <v>10</v>
      </c>
      <c r="J31" s="187" t="s">
        <v>387</v>
      </c>
    </row>
    <row r="32" spans="3:10" ht="45" customHeight="1" thickBot="1" x14ac:dyDescent="0.35">
      <c r="C32" s="184"/>
      <c r="D32" s="185"/>
      <c r="E32" s="8"/>
      <c r="F32" s="186"/>
      <c r="G32" s="188"/>
      <c r="H32" s="9"/>
      <c r="I32" s="9"/>
      <c r="J32" s="187"/>
    </row>
    <row r="33" spans="3:10" ht="45" customHeight="1" thickBot="1" x14ac:dyDescent="0.35">
      <c r="C33" s="184"/>
      <c r="D33" s="185"/>
      <c r="E33" s="8"/>
      <c r="F33" s="186"/>
      <c r="G33" s="188"/>
      <c r="H33" s="9"/>
      <c r="I33" s="9"/>
      <c r="J33" s="187"/>
    </row>
    <row r="34" spans="3:10" ht="45" customHeight="1" thickBot="1" x14ac:dyDescent="0.35">
      <c r="C34" s="184"/>
      <c r="D34" s="185"/>
      <c r="E34" s="8"/>
      <c r="F34" s="186"/>
      <c r="G34" s="188"/>
      <c r="H34" s="9"/>
      <c r="I34" s="9"/>
      <c r="J34" s="187"/>
    </row>
    <row r="35" spans="3:10" ht="45" customHeight="1" thickBot="1" x14ac:dyDescent="0.35">
      <c r="C35" s="184"/>
      <c r="D35" s="185"/>
      <c r="E35" s="8"/>
      <c r="F35" s="186"/>
      <c r="G35" s="188"/>
      <c r="H35" s="9"/>
      <c r="I35" s="9"/>
      <c r="J35" s="187"/>
    </row>
    <row r="36" spans="3:10" ht="45" customHeight="1" thickBot="1" x14ac:dyDescent="0.35">
      <c r="C36" s="184"/>
      <c r="D36" s="185"/>
      <c r="E36" s="8"/>
      <c r="F36" s="186"/>
      <c r="G36" s="188"/>
      <c r="H36" s="9"/>
      <c r="I36" s="9"/>
      <c r="J36" s="187"/>
    </row>
    <row r="37" spans="3:10" ht="45" customHeight="1" thickBot="1" x14ac:dyDescent="0.35">
      <c r="C37" s="184"/>
      <c r="D37" s="185"/>
      <c r="E37" s="8"/>
      <c r="F37" s="186"/>
      <c r="G37" s="188"/>
      <c r="H37" s="9"/>
      <c r="I37" s="9"/>
      <c r="J37" s="187"/>
    </row>
    <row r="38" spans="3:10" ht="45" customHeight="1" thickBot="1" x14ac:dyDescent="0.35">
      <c r="C38" s="184"/>
      <c r="D38" s="185"/>
      <c r="E38" s="8"/>
      <c r="F38" s="186"/>
      <c r="G38" s="188"/>
      <c r="H38" s="9"/>
      <c r="I38" s="9"/>
      <c r="J38" s="187"/>
    </row>
    <row r="39" spans="3:10" ht="45" customHeight="1" thickBot="1" x14ac:dyDescent="0.35">
      <c r="C39" s="184"/>
      <c r="D39" s="185"/>
      <c r="E39" s="8"/>
      <c r="F39" s="186"/>
      <c r="G39" s="188"/>
      <c r="H39" s="9"/>
      <c r="I39" s="9"/>
      <c r="J39" s="187"/>
    </row>
    <row r="40" spans="3:10" ht="45" customHeight="1" thickBot="1" x14ac:dyDescent="0.35">
      <c r="C40" s="184"/>
      <c r="D40" s="185"/>
      <c r="E40" s="8"/>
      <c r="F40" s="186"/>
      <c r="G40" s="188"/>
      <c r="H40" s="9"/>
      <c r="I40" s="9"/>
      <c r="J40" s="187"/>
    </row>
    <row r="41" spans="3:10" ht="45" customHeight="1" thickBot="1" x14ac:dyDescent="0.35">
      <c r="C41" s="184"/>
      <c r="D41" s="185"/>
      <c r="E41" s="8"/>
      <c r="F41" s="186"/>
      <c r="G41" s="188"/>
      <c r="H41" s="9"/>
      <c r="I41" s="9"/>
      <c r="J41" s="187"/>
    </row>
    <row r="42" spans="3:10" ht="45" customHeight="1" thickBot="1" x14ac:dyDescent="0.35">
      <c r="C42" s="184"/>
      <c r="D42" s="185"/>
      <c r="E42" s="8"/>
      <c r="F42" s="186"/>
      <c r="G42" s="188"/>
      <c r="H42" s="9"/>
      <c r="I42" s="9"/>
      <c r="J42" s="187"/>
    </row>
    <row r="43" spans="3:10" ht="45" customHeight="1" thickBot="1" x14ac:dyDescent="0.35">
      <c r="C43" s="184"/>
      <c r="D43" s="185"/>
      <c r="E43" s="8"/>
      <c r="F43" s="186"/>
      <c r="G43" s="188"/>
      <c r="H43" s="9"/>
      <c r="I43" s="9"/>
      <c r="J43" s="187"/>
    </row>
    <row r="44" spans="3:10" ht="45" customHeight="1" thickBot="1" x14ac:dyDescent="0.35">
      <c r="C44" s="184"/>
      <c r="D44" s="185"/>
      <c r="E44" s="8"/>
      <c r="F44" s="186"/>
      <c r="G44" s="188"/>
      <c r="H44" s="9"/>
      <c r="I44" s="9"/>
      <c r="J44" s="187"/>
    </row>
  </sheetData>
  <mergeCells count="3">
    <mergeCell ref="D2:F2"/>
    <mergeCell ref="H2:I2"/>
    <mergeCell ref="D4:J4"/>
  </mergeCells>
  <conditionalFormatting sqref="G6:H44">
    <cfRule type="containsText" dxfId="13" priority="1" operator="containsText" text="2025">
      <formula>NOT(ISERROR(SEARCH("2025",G6)))</formula>
    </cfRule>
    <cfRule type="containsText" dxfId="12" priority="2" operator="containsText" text="/">
      <formula>NOT(ISERROR(SEARCH("/",G6)))</formula>
    </cfRule>
  </conditionalFormatting>
  <conditionalFormatting sqref="H6:I44">
    <cfRule type="containsText" dxfId="11" priority="3" operator="containsText" text="Yes">
      <formula>NOT(ISERROR(SEARCH("Yes",H6)))</formula>
    </cfRule>
  </conditionalFormatting>
  <conditionalFormatting sqref="I6:I44">
    <cfRule type="containsText" dxfId="10" priority="7" operator="containsText" text="No">
      <formula>NOT(ISERROR(SEARCH("No",I6)))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21AB-BE6F-4780-99FD-E3267F757B81}">
  <sheetPr>
    <tabColor rgb="FFFFFF00"/>
  </sheetPr>
  <dimension ref="B2:G29"/>
  <sheetViews>
    <sheetView workbookViewId="0">
      <selection activeCell="J22" sqref="J22"/>
    </sheetView>
  </sheetViews>
  <sheetFormatPr defaultRowHeight="14.4" x14ac:dyDescent="0.3"/>
  <cols>
    <col min="2" max="2" width="21.33203125" customWidth="1"/>
    <col min="3" max="3" width="22.6640625" customWidth="1"/>
    <col min="4" max="4" width="27.5546875" customWidth="1"/>
    <col min="5" max="5" width="20" bestFit="1" customWidth="1"/>
    <col min="6" max="6" width="19.109375" customWidth="1"/>
    <col min="7" max="7" width="59" customWidth="1"/>
  </cols>
  <sheetData>
    <row r="2" spans="2:7" ht="15" thickBot="1" x14ac:dyDescent="0.35"/>
    <row r="3" spans="2:7" ht="18.600000000000001" thickBot="1" x14ac:dyDescent="0.35">
      <c r="B3" s="332" t="s">
        <v>388</v>
      </c>
      <c r="C3" s="333"/>
      <c r="D3" s="333"/>
      <c r="E3" s="333"/>
      <c r="F3" s="333"/>
      <c r="G3" s="334"/>
    </row>
    <row r="4" spans="2:7" ht="15" thickBot="1" x14ac:dyDescent="0.35">
      <c r="B4" s="189" t="s">
        <v>389</v>
      </c>
      <c r="C4" s="189" t="s">
        <v>390</v>
      </c>
      <c r="D4" s="189" t="s">
        <v>391</v>
      </c>
      <c r="E4" s="189" t="s">
        <v>392</v>
      </c>
      <c r="F4" s="190" t="s">
        <v>393</v>
      </c>
      <c r="G4" s="191" t="s">
        <v>0</v>
      </c>
    </row>
    <row r="5" spans="2:7" x14ac:dyDescent="0.3">
      <c r="B5" s="192">
        <v>237000</v>
      </c>
      <c r="C5" s="193" t="s">
        <v>394</v>
      </c>
      <c r="D5" s="193"/>
      <c r="E5" s="194">
        <v>23650</v>
      </c>
      <c r="F5" s="195" t="s">
        <v>395</v>
      </c>
      <c r="G5" s="13" t="s">
        <v>396</v>
      </c>
    </row>
    <row r="6" spans="2:7" x14ac:dyDescent="0.3">
      <c r="B6" s="196">
        <v>312316</v>
      </c>
      <c r="C6" s="168" t="s">
        <v>397</v>
      </c>
      <c r="D6" s="168"/>
      <c r="E6" s="197">
        <v>14610</v>
      </c>
      <c r="F6" s="172" t="s">
        <v>86</v>
      </c>
      <c r="G6" s="14" t="s">
        <v>398</v>
      </c>
    </row>
    <row r="7" spans="2:7" ht="28.8" x14ac:dyDescent="0.3">
      <c r="B7" s="196">
        <v>550099</v>
      </c>
      <c r="C7" s="168" t="s">
        <v>399</v>
      </c>
      <c r="D7" s="169">
        <v>9135.8700000000008</v>
      </c>
      <c r="E7" s="40" t="s">
        <v>400</v>
      </c>
      <c r="F7" s="172" t="s">
        <v>400</v>
      </c>
      <c r="G7" s="178" t="s">
        <v>401</v>
      </c>
    </row>
    <row r="8" spans="2:7" x14ac:dyDescent="0.3">
      <c r="B8" s="196"/>
      <c r="C8" s="168"/>
      <c r="D8" s="168"/>
      <c r="E8" s="40"/>
      <c r="F8" s="172"/>
      <c r="G8" s="14"/>
    </row>
    <row r="9" spans="2:7" x14ac:dyDescent="0.3">
      <c r="B9" s="196"/>
      <c r="C9" s="168"/>
      <c r="D9" s="168"/>
      <c r="E9" s="40"/>
      <c r="F9" s="172"/>
      <c r="G9" s="14"/>
    </row>
    <row r="10" spans="2:7" x14ac:dyDescent="0.3">
      <c r="B10" s="196"/>
      <c r="C10" s="168"/>
      <c r="D10" s="168"/>
      <c r="E10" s="40"/>
      <c r="F10" s="172"/>
      <c r="G10" s="14"/>
    </row>
    <row r="11" spans="2:7" x14ac:dyDescent="0.3">
      <c r="B11" s="196"/>
      <c r="C11" s="168"/>
      <c r="D11" s="168"/>
      <c r="E11" s="40"/>
      <c r="F11" s="172"/>
      <c r="G11" s="14"/>
    </row>
    <row r="12" spans="2:7" x14ac:dyDescent="0.3">
      <c r="B12" s="196"/>
      <c r="C12" s="168"/>
      <c r="D12" s="168"/>
      <c r="E12" s="40"/>
      <c r="F12" s="172"/>
      <c r="G12" s="14"/>
    </row>
    <row r="13" spans="2:7" x14ac:dyDescent="0.3">
      <c r="B13" s="196"/>
      <c r="C13" s="168"/>
      <c r="D13" s="168"/>
      <c r="E13" s="40"/>
      <c r="F13" s="172"/>
      <c r="G13" s="14"/>
    </row>
    <row r="14" spans="2:7" x14ac:dyDescent="0.3">
      <c r="B14" s="196"/>
      <c r="C14" s="168"/>
      <c r="D14" s="168"/>
      <c r="E14" s="40"/>
      <c r="F14" s="172"/>
      <c r="G14" s="14"/>
    </row>
    <row r="15" spans="2:7" x14ac:dyDescent="0.3">
      <c r="B15" s="196"/>
      <c r="C15" s="168"/>
      <c r="D15" s="168"/>
      <c r="E15" s="40"/>
      <c r="F15" s="172"/>
      <c r="G15" s="14"/>
    </row>
    <row r="16" spans="2:7" x14ac:dyDescent="0.3">
      <c r="B16" s="196"/>
      <c r="C16" s="168"/>
      <c r="D16" s="168"/>
      <c r="E16" s="40"/>
      <c r="F16" s="172"/>
      <c r="G16" s="14"/>
    </row>
    <row r="17" spans="2:7" x14ac:dyDescent="0.3">
      <c r="B17" s="196"/>
      <c r="C17" s="168"/>
      <c r="D17" s="168"/>
      <c r="E17" s="40"/>
      <c r="F17" s="172"/>
      <c r="G17" s="14"/>
    </row>
    <row r="18" spans="2:7" x14ac:dyDescent="0.3">
      <c r="B18" s="196"/>
      <c r="C18" s="168"/>
      <c r="D18" s="168"/>
      <c r="E18" s="40"/>
      <c r="F18" s="172"/>
      <c r="G18" s="14"/>
    </row>
    <row r="19" spans="2:7" x14ac:dyDescent="0.3">
      <c r="B19" s="196"/>
      <c r="C19" s="168"/>
      <c r="D19" s="168"/>
      <c r="E19" s="40"/>
      <c r="F19" s="172"/>
      <c r="G19" s="14"/>
    </row>
    <row r="20" spans="2:7" x14ac:dyDescent="0.3">
      <c r="B20" s="196"/>
      <c r="C20" s="168"/>
      <c r="D20" s="168"/>
      <c r="E20" s="40"/>
      <c r="F20" s="172"/>
      <c r="G20" s="14"/>
    </row>
    <row r="21" spans="2:7" x14ac:dyDescent="0.3">
      <c r="B21" s="196"/>
      <c r="C21" s="168"/>
      <c r="D21" s="168"/>
      <c r="E21" s="40"/>
      <c r="F21" s="172"/>
      <c r="G21" s="14"/>
    </row>
    <row r="22" spans="2:7" x14ac:dyDescent="0.3">
      <c r="B22" s="196"/>
      <c r="C22" s="168"/>
      <c r="D22" s="168"/>
      <c r="E22" s="40"/>
      <c r="F22" s="172"/>
      <c r="G22" s="14"/>
    </row>
    <row r="23" spans="2:7" x14ac:dyDescent="0.3">
      <c r="B23" s="196"/>
      <c r="C23" s="168"/>
      <c r="D23" s="168"/>
      <c r="E23" s="40"/>
      <c r="F23" s="172"/>
      <c r="G23" s="14"/>
    </row>
    <row r="24" spans="2:7" x14ac:dyDescent="0.3">
      <c r="B24" s="196"/>
      <c r="C24" s="168"/>
      <c r="D24" s="168"/>
      <c r="E24" s="40"/>
      <c r="F24" s="172"/>
      <c r="G24" s="14"/>
    </row>
    <row r="25" spans="2:7" x14ac:dyDescent="0.3">
      <c r="B25" s="39"/>
      <c r="C25" s="168"/>
      <c r="D25" s="168"/>
      <c r="E25" s="40"/>
      <c r="F25" s="172"/>
      <c r="G25" s="14"/>
    </row>
    <row r="26" spans="2:7" x14ac:dyDescent="0.3">
      <c r="B26" s="39"/>
      <c r="C26" s="40"/>
      <c r="D26" s="40"/>
      <c r="E26" s="40"/>
      <c r="F26" s="172"/>
      <c r="G26" s="14"/>
    </row>
    <row r="27" spans="2:7" x14ac:dyDescent="0.3">
      <c r="B27" s="39"/>
      <c r="C27" s="40"/>
      <c r="D27" s="40"/>
      <c r="E27" s="40"/>
      <c r="F27" s="172"/>
      <c r="G27" s="14"/>
    </row>
    <row r="28" spans="2:7" x14ac:dyDescent="0.3">
      <c r="B28" s="39"/>
      <c r="C28" s="40"/>
      <c r="D28" s="40"/>
      <c r="E28" s="40"/>
      <c r="F28" s="198"/>
      <c r="G28" s="14"/>
    </row>
    <row r="29" spans="2:7" ht="15" thickBot="1" x14ac:dyDescent="0.35">
      <c r="B29" s="56"/>
      <c r="C29" s="57"/>
      <c r="D29" s="57"/>
      <c r="E29" s="57"/>
      <c r="F29" s="199"/>
      <c r="G29" s="200"/>
    </row>
  </sheetData>
  <mergeCells count="1">
    <mergeCell ref="B3:G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15937-6440-4F80-AA4A-CBEAD24771B7}">
  <sheetPr>
    <tabColor theme="5"/>
  </sheetPr>
  <dimension ref="A1:S129"/>
  <sheetViews>
    <sheetView topLeftCell="A13" workbookViewId="0">
      <selection activeCell="R8" sqref="R8"/>
    </sheetView>
  </sheetViews>
  <sheetFormatPr defaultRowHeight="14.4" x14ac:dyDescent="0.3"/>
  <cols>
    <col min="1" max="1" width="24.6640625" bestFit="1" customWidth="1"/>
    <col min="2" max="2" width="9.44140625" bestFit="1" customWidth="1"/>
    <col min="3" max="3" width="22.109375" bestFit="1" customWidth="1"/>
    <col min="4" max="5" width="13.5546875" bestFit="1" customWidth="1"/>
    <col min="6" max="6" width="15.44140625" bestFit="1" customWidth="1"/>
    <col min="7" max="7" width="13.33203125" bestFit="1" customWidth="1"/>
    <col min="8" max="8" width="8.44140625" bestFit="1" customWidth="1"/>
    <col min="9" max="9" width="9.88671875" bestFit="1" customWidth="1"/>
    <col min="10" max="10" width="18.6640625" bestFit="1" customWidth="1"/>
    <col min="11" max="11" width="14.44140625" bestFit="1" customWidth="1"/>
    <col min="12" max="12" width="13.88671875" bestFit="1" customWidth="1"/>
    <col min="13" max="13" width="12.5546875" bestFit="1" customWidth="1"/>
    <col min="14" max="14" width="16" bestFit="1" customWidth="1"/>
    <col min="15" max="15" width="18.5546875" bestFit="1" customWidth="1"/>
    <col min="16" max="16" width="10.44140625" bestFit="1" customWidth="1"/>
  </cols>
  <sheetData>
    <row r="1" spans="1:19" ht="18" x14ac:dyDescent="0.35">
      <c r="A1" s="1" t="s">
        <v>402</v>
      </c>
      <c r="B1" s="75"/>
      <c r="C1" s="1"/>
      <c r="D1" s="335" t="s">
        <v>403</v>
      </c>
      <c r="E1" s="335"/>
      <c r="F1" s="335"/>
      <c r="G1" s="335"/>
      <c r="H1" s="1"/>
      <c r="I1" s="1"/>
      <c r="J1" s="1"/>
      <c r="K1" s="1"/>
      <c r="L1" s="1"/>
      <c r="M1" s="1"/>
      <c r="N1" s="1"/>
      <c r="O1" s="1"/>
    </row>
    <row r="2" spans="1:19" x14ac:dyDescent="0.3">
      <c r="A2" s="1" t="s">
        <v>404</v>
      </c>
      <c r="B2" s="75"/>
      <c r="C2" s="1"/>
      <c r="D2" s="336" t="s">
        <v>405</v>
      </c>
      <c r="E2" s="336"/>
      <c r="F2" s="336"/>
      <c r="G2" s="336"/>
      <c r="H2" s="1"/>
      <c r="I2" s="1"/>
      <c r="J2" s="1"/>
      <c r="K2" s="1"/>
      <c r="L2" s="1"/>
      <c r="M2" s="1"/>
      <c r="N2" s="1"/>
      <c r="O2" s="1"/>
    </row>
    <row r="3" spans="1:19" x14ac:dyDescent="0.3">
      <c r="A3" s="1"/>
      <c r="B3" s="75"/>
      <c r="C3" s="1"/>
      <c r="D3" s="1"/>
      <c r="E3" s="1"/>
      <c r="F3" s="76"/>
      <c r="G3" s="1"/>
      <c r="H3" s="1"/>
      <c r="I3" s="1"/>
      <c r="J3" s="1"/>
      <c r="K3" s="1"/>
      <c r="L3" s="1"/>
      <c r="M3" s="1"/>
      <c r="N3" s="1"/>
      <c r="O3" s="1"/>
    </row>
    <row r="4" spans="1:19" x14ac:dyDescent="0.3">
      <c r="A4" s="1" t="s">
        <v>406</v>
      </c>
      <c r="B4" s="75"/>
      <c r="C4" s="1"/>
      <c r="D4" s="1"/>
      <c r="E4" s="1"/>
      <c r="F4" s="76"/>
      <c r="G4" s="1"/>
      <c r="H4" s="1"/>
      <c r="I4" s="1"/>
      <c r="J4" s="1"/>
      <c r="K4" s="1"/>
      <c r="L4" s="1"/>
      <c r="M4" s="1"/>
      <c r="N4" s="1"/>
      <c r="O4" s="1"/>
    </row>
    <row r="5" spans="1:19" x14ac:dyDescent="0.3">
      <c r="A5" s="1"/>
      <c r="B5" s="75"/>
      <c r="C5" s="1"/>
      <c r="D5" s="1"/>
      <c r="E5" s="1"/>
      <c r="F5" s="76"/>
      <c r="G5" s="1"/>
      <c r="H5" s="1"/>
      <c r="I5" s="1"/>
      <c r="J5" s="1"/>
      <c r="K5" s="1"/>
      <c r="L5" s="1"/>
      <c r="M5" s="1"/>
      <c r="N5" s="1"/>
      <c r="O5" s="1"/>
    </row>
    <row r="6" spans="1:19" ht="15" thickBot="1" x14ac:dyDescent="0.35">
      <c r="A6" s="3" t="s">
        <v>407</v>
      </c>
      <c r="B6" s="77" t="s">
        <v>408</v>
      </c>
      <c r="C6" s="3" t="s">
        <v>409</v>
      </c>
      <c r="D6" s="3" t="s">
        <v>410</v>
      </c>
      <c r="E6" s="3" t="s">
        <v>302</v>
      </c>
      <c r="F6" s="78" t="s">
        <v>411</v>
      </c>
      <c r="G6" s="3" t="s">
        <v>412</v>
      </c>
      <c r="H6" s="3" t="s">
        <v>413</v>
      </c>
      <c r="I6" s="3" t="s">
        <v>414</v>
      </c>
      <c r="J6" s="3" t="s">
        <v>415</v>
      </c>
      <c r="K6" s="3" t="s">
        <v>416</v>
      </c>
      <c r="L6" s="3" t="s">
        <v>417</v>
      </c>
      <c r="M6" s="3" t="s">
        <v>418</v>
      </c>
      <c r="N6" s="3" t="s">
        <v>419</v>
      </c>
      <c r="O6" s="3" t="s">
        <v>420</v>
      </c>
      <c r="P6" s="3" t="s">
        <v>421</v>
      </c>
      <c r="Q6" s="2"/>
      <c r="R6" s="2"/>
      <c r="S6" s="2"/>
    </row>
    <row r="7" spans="1:19" ht="15" thickBot="1" x14ac:dyDescent="0.35">
      <c r="A7" s="79" t="s">
        <v>422</v>
      </c>
      <c r="B7" s="80"/>
      <c r="C7" s="80"/>
      <c r="D7" s="80"/>
      <c r="E7" s="80"/>
      <c r="F7" s="80"/>
      <c r="G7" s="80"/>
      <c r="H7" s="80"/>
      <c r="I7" s="80"/>
      <c r="J7" s="80"/>
      <c r="K7" s="80"/>
      <c r="L7" s="80"/>
      <c r="M7" s="80"/>
      <c r="N7" s="80"/>
      <c r="O7" s="80"/>
      <c r="P7" s="80"/>
      <c r="Q7" s="81"/>
      <c r="R7" s="81"/>
      <c r="S7" s="81"/>
    </row>
    <row r="8" spans="1:19" ht="28.8" x14ac:dyDescent="0.3">
      <c r="A8" s="82" t="s">
        <v>423</v>
      </c>
      <c r="B8" s="83" t="s">
        <v>424</v>
      </c>
      <c r="C8" s="82" t="s">
        <v>335</v>
      </c>
      <c r="D8" s="82" t="s">
        <v>425</v>
      </c>
      <c r="E8" s="82" t="s">
        <v>426</v>
      </c>
      <c r="F8" s="84" t="s">
        <v>427</v>
      </c>
      <c r="G8" s="82" t="s">
        <v>428</v>
      </c>
      <c r="H8" s="82" t="s">
        <v>429</v>
      </c>
      <c r="I8" s="82" t="s">
        <v>430</v>
      </c>
      <c r="J8" s="85">
        <v>45800</v>
      </c>
      <c r="K8" s="85">
        <v>45756</v>
      </c>
      <c r="L8" s="85">
        <v>45770</v>
      </c>
      <c r="M8" s="85">
        <v>45778</v>
      </c>
      <c r="N8" s="85">
        <v>45804</v>
      </c>
      <c r="O8" s="85">
        <v>45804</v>
      </c>
      <c r="P8" s="82"/>
      <c r="Q8" s="82"/>
      <c r="R8" s="81"/>
      <c r="S8" s="81"/>
    </row>
    <row r="9" spans="1:19" ht="28.8" x14ac:dyDescent="0.3">
      <c r="A9" s="82" t="s">
        <v>431</v>
      </c>
      <c r="B9" s="83" t="s">
        <v>432</v>
      </c>
      <c r="C9" s="82" t="s">
        <v>335</v>
      </c>
      <c r="D9" s="82" t="s">
        <v>433</v>
      </c>
      <c r="E9" s="82" t="s">
        <v>426</v>
      </c>
      <c r="F9" s="84" t="s">
        <v>427</v>
      </c>
      <c r="G9" s="82" t="s">
        <v>428</v>
      </c>
      <c r="H9" s="82" t="s">
        <v>429</v>
      </c>
      <c r="I9" s="82" t="s">
        <v>434</v>
      </c>
      <c r="J9" s="85">
        <v>45831</v>
      </c>
      <c r="K9" s="85">
        <v>45758</v>
      </c>
      <c r="L9" s="82"/>
      <c r="M9" s="85">
        <v>45716</v>
      </c>
      <c r="N9" s="85">
        <v>45826</v>
      </c>
      <c r="O9" s="85">
        <v>45831</v>
      </c>
      <c r="P9" s="82"/>
      <c r="Q9" s="82"/>
      <c r="R9" s="81"/>
      <c r="S9" s="81"/>
    </row>
    <row r="10" spans="1:19" x14ac:dyDescent="0.3">
      <c r="A10" s="82"/>
      <c r="B10" s="83"/>
      <c r="C10" s="82"/>
      <c r="D10" s="82"/>
      <c r="E10" s="82"/>
      <c r="F10" s="84"/>
      <c r="G10" s="82"/>
      <c r="H10" s="82"/>
      <c r="I10" s="82"/>
      <c r="J10" s="82"/>
      <c r="K10" s="82"/>
      <c r="L10" s="82"/>
      <c r="M10" s="82"/>
      <c r="N10" s="82"/>
      <c r="O10" s="82"/>
      <c r="P10" s="82"/>
      <c r="Q10" s="82"/>
      <c r="R10" s="81"/>
      <c r="S10" s="81"/>
    </row>
    <row r="11" spans="1:19" ht="15" thickBot="1" x14ac:dyDescent="0.35">
      <c r="A11" s="86" t="s">
        <v>435</v>
      </c>
      <c r="B11" s="87"/>
      <c r="C11" s="88"/>
      <c r="D11" s="88"/>
      <c r="E11" s="88"/>
      <c r="F11" s="89"/>
      <c r="G11" s="88"/>
      <c r="H11" s="88"/>
      <c r="I11" s="88"/>
      <c r="J11" s="88"/>
      <c r="K11" s="88"/>
      <c r="L11" s="88"/>
      <c r="M11" s="88"/>
      <c r="N11" s="88"/>
      <c r="O11" s="88"/>
      <c r="P11" s="88"/>
      <c r="Q11" s="82"/>
      <c r="R11" s="81"/>
      <c r="S11" s="81"/>
    </row>
    <row r="12" spans="1:19" ht="43.2" x14ac:dyDescent="0.3">
      <c r="A12" s="82" t="s">
        <v>436</v>
      </c>
      <c r="B12" s="83" t="s">
        <v>437</v>
      </c>
      <c r="C12" s="82" t="s">
        <v>435</v>
      </c>
      <c r="D12" s="82" t="s">
        <v>433</v>
      </c>
      <c r="E12" s="82" t="s">
        <v>438</v>
      </c>
      <c r="F12" s="84" t="s">
        <v>439</v>
      </c>
      <c r="G12" s="82" t="s">
        <v>440</v>
      </c>
      <c r="H12" s="82"/>
      <c r="I12" s="82" t="s">
        <v>441</v>
      </c>
      <c r="J12" s="85">
        <v>45952</v>
      </c>
      <c r="K12" s="85">
        <v>45719</v>
      </c>
      <c r="L12" s="82"/>
      <c r="M12" s="85">
        <v>45901</v>
      </c>
      <c r="N12" s="82" t="s">
        <v>442</v>
      </c>
      <c r="O12" s="82"/>
      <c r="P12" s="82"/>
      <c r="Q12" s="82"/>
      <c r="R12" s="81"/>
      <c r="S12" s="81"/>
    </row>
    <row r="13" spans="1:19" ht="43.2" x14ac:dyDescent="0.3">
      <c r="A13" s="82" t="s">
        <v>443</v>
      </c>
      <c r="B13" s="83" t="s">
        <v>444</v>
      </c>
      <c r="C13" s="82" t="s">
        <v>435</v>
      </c>
      <c r="D13" s="82" t="s">
        <v>433</v>
      </c>
      <c r="E13" s="82" t="s">
        <v>438</v>
      </c>
      <c r="F13" s="84" t="s">
        <v>439</v>
      </c>
      <c r="G13" s="82" t="s">
        <v>440</v>
      </c>
      <c r="H13" s="82"/>
      <c r="I13" s="82" t="s">
        <v>441</v>
      </c>
      <c r="J13" s="85">
        <v>45952</v>
      </c>
      <c r="K13" s="82"/>
      <c r="L13" s="82"/>
      <c r="M13" s="85">
        <v>45901</v>
      </c>
      <c r="N13" s="82" t="s">
        <v>442</v>
      </c>
      <c r="O13" s="82"/>
      <c r="P13" s="82"/>
      <c r="Q13" s="82"/>
      <c r="R13" s="81"/>
      <c r="S13" s="81"/>
    </row>
    <row r="14" spans="1:19" ht="28.8" x14ac:dyDescent="0.3">
      <c r="A14" s="82" t="s">
        <v>445</v>
      </c>
      <c r="B14" s="83" t="s">
        <v>446</v>
      </c>
      <c r="C14" s="82" t="s">
        <v>435</v>
      </c>
      <c r="D14" s="82" t="s">
        <v>433</v>
      </c>
      <c r="E14" s="82" t="s">
        <v>438</v>
      </c>
      <c r="F14" s="84" t="s">
        <v>439</v>
      </c>
      <c r="G14" s="82" t="s">
        <v>440</v>
      </c>
      <c r="H14" s="82"/>
      <c r="I14" s="82"/>
      <c r="J14" s="82"/>
      <c r="K14" s="82"/>
      <c r="L14" s="82"/>
      <c r="M14" s="82"/>
      <c r="N14" s="82"/>
      <c r="O14" s="82"/>
      <c r="P14" s="82"/>
      <c r="Q14" s="82"/>
      <c r="R14" s="81"/>
      <c r="S14" s="81"/>
    </row>
    <row r="15" spans="1:19" ht="43.2" x14ac:dyDescent="0.3">
      <c r="A15" s="82" t="s">
        <v>447</v>
      </c>
      <c r="B15" s="83" t="s">
        <v>448</v>
      </c>
      <c r="C15" s="82" t="s">
        <v>435</v>
      </c>
      <c r="D15" s="82" t="s">
        <v>433</v>
      </c>
      <c r="E15" s="82" t="s">
        <v>438</v>
      </c>
      <c r="F15" s="84" t="s">
        <v>439</v>
      </c>
      <c r="G15" s="82" t="s">
        <v>440</v>
      </c>
      <c r="H15" s="82"/>
      <c r="I15" s="82" t="s">
        <v>441</v>
      </c>
      <c r="J15" s="85">
        <v>45952</v>
      </c>
      <c r="K15" s="85">
        <v>45722</v>
      </c>
      <c r="L15" s="82"/>
      <c r="M15" s="85">
        <v>45901</v>
      </c>
      <c r="N15" s="82" t="s">
        <v>442</v>
      </c>
      <c r="O15" s="82"/>
      <c r="P15" s="82"/>
      <c r="Q15" s="82"/>
      <c r="R15" s="81"/>
      <c r="S15" s="81"/>
    </row>
    <row r="16" spans="1:19" ht="43.2" x14ac:dyDescent="0.3">
      <c r="A16" s="82" t="s">
        <v>449</v>
      </c>
      <c r="B16" s="83" t="s">
        <v>450</v>
      </c>
      <c r="C16" s="82" t="s">
        <v>435</v>
      </c>
      <c r="D16" s="82" t="s">
        <v>433</v>
      </c>
      <c r="E16" s="82" t="s">
        <v>438</v>
      </c>
      <c r="F16" s="84" t="s">
        <v>439</v>
      </c>
      <c r="G16" s="82" t="s">
        <v>440</v>
      </c>
      <c r="H16" s="82"/>
      <c r="I16" s="82" t="s">
        <v>441</v>
      </c>
      <c r="J16" s="85">
        <v>45952</v>
      </c>
      <c r="K16" s="85">
        <v>45719</v>
      </c>
      <c r="L16" s="82"/>
      <c r="M16" s="85">
        <v>45901</v>
      </c>
      <c r="N16" s="82" t="s">
        <v>442</v>
      </c>
      <c r="O16" s="82"/>
      <c r="P16" s="82"/>
      <c r="Q16" s="82"/>
      <c r="R16" s="81"/>
      <c r="S16" s="81"/>
    </row>
    <row r="17" spans="1:19" ht="43.2" x14ac:dyDescent="0.3">
      <c r="A17" s="82" t="s">
        <v>451</v>
      </c>
      <c r="B17" s="83" t="s">
        <v>452</v>
      </c>
      <c r="C17" s="82" t="s">
        <v>435</v>
      </c>
      <c r="D17" s="82" t="s">
        <v>433</v>
      </c>
      <c r="E17" s="82" t="s">
        <v>438</v>
      </c>
      <c r="F17" s="84" t="s">
        <v>439</v>
      </c>
      <c r="G17" s="82" t="s">
        <v>440</v>
      </c>
      <c r="H17" s="82"/>
      <c r="I17" s="82" t="s">
        <v>441</v>
      </c>
      <c r="J17" s="85">
        <v>45952</v>
      </c>
      <c r="K17" s="85">
        <v>45719</v>
      </c>
      <c r="L17" s="82"/>
      <c r="M17" s="85">
        <v>45901</v>
      </c>
      <c r="N17" s="82" t="s">
        <v>442</v>
      </c>
      <c r="O17" s="82"/>
      <c r="P17" s="82"/>
      <c r="Q17" s="82"/>
      <c r="R17" s="81"/>
      <c r="S17" s="81"/>
    </row>
    <row r="18" spans="1:19" ht="43.2" x14ac:dyDescent="0.3">
      <c r="A18" s="82" t="s">
        <v>453</v>
      </c>
      <c r="B18" s="83" t="s">
        <v>454</v>
      </c>
      <c r="C18" s="82" t="s">
        <v>435</v>
      </c>
      <c r="D18" s="82" t="s">
        <v>433</v>
      </c>
      <c r="E18" s="82" t="s">
        <v>438</v>
      </c>
      <c r="F18" s="84" t="s">
        <v>439</v>
      </c>
      <c r="G18" s="82" t="s">
        <v>440</v>
      </c>
      <c r="H18" s="82"/>
      <c r="I18" s="82" t="s">
        <v>441</v>
      </c>
      <c r="J18" s="85">
        <v>45952</v>
      </c>
      <c r="K18" s="85">
        <v>45719</v>
      </c>
      <c r="L18" s="82"/>
      <c r="M18" s="85">
        <v>45901</v>
      </c>
      <c r="N18" s="82" t="s">
        <v>442</v>
      </c>
      <c r="O18" s="82"/>
      <c r="P18" s="82"/>
      <c r="Q18" s="82"/>
      <c r="R18" s="81"/>
      <c r="S18" s="81"/>
    </row>
    <row r="19" spans="1:19" ht="43.2" x14ac:dyDescent="0.3">
      <c r="A19" s="82" t="s">
        <v>455</v>
      </c>
      <c r="B19" s="83" t="s">
        <v>456</v>
      </c>
      <c r="C19" s="82" t="s">
        <v>435</v>
      </c>
      <c r="D19" s="82" t="s">
        <v>433</v>
      </c>
      <c r="E19" s="82" t="s">
        <v>438</v>
      </c>
      <c r="F19" s="84" t="s">
        <v>439</v>
      </c>
      <c r="G19" s="82" t="s">
        <v>440</v>
      </c>
      <c r="H19" s="82"/>
      <c r="I19" s="82" t="s">
        <v>441</v>
      </c>
      <c r="J19" s="85">
        <v>45952</v>
      </c>
      <c r="K19" s="85">
        <v>45719</v>
      </c>
      <c r="L19" s="82"/>
      <c r="M19" s="85">
        <v>45901</v>
      </c>
      <c r="N19" s="82" t="s">
        <v>442</v>
      </c>
      <c r="O19" s="82"/>
      <c r="P19" s="82"/>
      <c r="Q19" s="82"/>
      <c r="R19" s="81"/>
      <c r="S19" s="81"/>
    </row>
    <row r="20" spans="1:19" ht="43.2" x14ac:dyDescent="0.3">
      <c r="A20" s="82" t="s">
        <v>457</v>
      </c>
      <c r="B20" s="83" t="s">
        <v>458</v>
      </c>
      <c r="C20" s="82" t="s">
        <v>435</v>
      </c>
      <c r="D20" s="82" t="s">
        <v>433</v>
      </c>
      <c r="E20" s="82" t="s">
        <v>438</v>
      </c>
      <c r="F20" s="84" t="s">
        <v>439</v>
      </c>
      <c r="G20" s="82" t="s">
        <v>440</v>
      </c>
      <c r="H20" s="82"/>
      <c r="I20" s="82" t="s">
        <v>441</v>
      </c>
      <c r="J20" s="85">
        <v>45952</v>
      </c>
      <c r="K20" s="85">
        <v>45719</v>
      </c>
      <c r="L20" s="82"/>
      <c r="M20" s="85">
        <v>45901</v>
      </c>
      <c r="N20" s="82" t="s">
        <v>442</v>
      </c>
      <c r="O20" s="82"/>
      <c r="P20" s="82"/>
      <c r="Q20" s="82"/>
      <c r="R20" s="81"/>
      <c r="S20" s="81"/>
    </row>
    <row r="21" spans="1:19" ht="28.8" x14ac:dyDescent="0.3">
      <c r="A21" s="82" t="s">
        <v>459</v>
      </c>
      <c r="B21" s="83" t="s">
        <v>460</v>
      </c>
      <c r="C21" s="82" t="s">
        <v>435</v>
      </c>
      <c r="D21" s="82" t="s">
        <v>433</v>
      </c>
      <c r="E21" s="82" t="s">
        <v>438</v>
      </c>
      <c r="F21" s="84" t="s">
        <v>461</v>
      </c>
      <c r="G21" s="82" t="s">
        <v>440</v>
      </c>
      <c r="H21" s="82"/>
      <c r="I21" s="82"/>
      <c r="J21" s="82"/>
      <c r="K21" s="85">
        <v>45722</v>
      </c>
      <c r="L21" s="82"/>
      <c r="M21" s="82"/>
      <c r="N21" s="82" t="s">
        <v>442</v>
      </c>
      <c r="O21" s="82"/>
      <c r="P21" s="82"/>
      <c r="Q21" s="82"/>
      <c r="R21" s="81"/>
      <c r="S21" s="81"/>
    </row>
    <row r="22" spans="1:19" x14ac:dyDescent="0.3">
      <c r="B22" s="90"/>
      <c r="F22" s="91"/>
      <c r="N22" s="82"/>
    </row>
    <row r="23" spans="1:19" x14ac:dyDescent="0.3">
      <c r="B23" s="90"/>
      <c r="F23" s="91"/>
      <c r="N23" s="82"/>
    </row>
    <row r="24" spans="1:19" x14ac:dyDescent="0.3">
      <c r="B24" s="90"/>
      <c r="F24" s="91"/>
      <c r="N24" s="82"/>
    </row>
    <row r="25" spans="1:19" ht="43.2" x14ac:dyDescent="0.3">
      <c r="A25" s="82" t="s">
        <v>462</v>
      </c>
      <c r="B25" s="83"/>
      <c r="C25" s="82" t="s">
        <v>463</v>
      </c>
      <c r="D25" s="82" t="s">
        <v>433</v>
      </c>
      <c r="E25" s="82" t="s">
        <v>438</v>
      </c>
      <c r="F25" s="84" t="s">
        <v>439</v>
      </c>
      <c r="G25" s="82" t="s">
        <v>440</v>
      </c>
      <c r="H25" s="82"/>
      <c r="I25" s="82" t="s">
        <v>441</v>
      </c>
      <c r="J25" s="85">
        <v>45933</v>
      </c>
      <c r="K25" s="82"/>
      <c r="L25" s="82"/>
      <c r="M25" s="85">
        <v>45901</v>
      </c>
      <c r="N25" s="82" t="s">
        <v>442</v>
      </c>
      <c r="O25" s="82"/>
      <c r="P25" s="82"/>
      <c r="Q25" s="82"/>
      <c r="R25" s="81"/>
      <c r="S25" s="81"/>
    </row>
    <row r="26" spans="1:19" ht="15" thickBot="1" x14ac:dyDescent="0.35">
      <c r="A26" s="82"/>
      <c r="B26" s="83"/>
      <c r="C26" s="82"/>
      <c r="D26" s="82"/>
      <c r="E26" s="82"/>
      <c r="F26" s="84"/>
      <c r="G26" s="82"/>
      <c r="H26" s="82"/>
      <c r="I26" s="82"/>
      <c r="J26" s="82"/>
      <c r="K26" s="82"/>
      <c r="L26" s="82"/>
      <c r="M26" s="82"/>
      <c r="N26" s="82"/>
      <c r="O26" s="82"/>
      <c r="P26" s="82"/>
      <c r="Q26" s="82"/>
      <c r="R26" s="81"/>
      <c r="S26" s="81"/>
    </row>
    <row r="27" spans="1:19" ht="15" thickBot="1" x14ac:dyDescent="0.35">
      <c r="A27" s="92" t="s">
        <v>372</v>
      </c>
      <c r="B27" s="93"/>
      <c r="C27" s="94"/>
      <c r="D27" s="94"/>
      <c r="E27" s="94"/>
      <c r="F27" s="95"/>
      <c r="G27" s="94"/>
      <c r="H27" s="94"/>
      <c r="I27" s="94"/>
      <c r="J27" s="94"/>
      <c r="K27" s="94"/>
      <c r="L27" s="94"/>
      <c r="M27" s="94"/>
      <c r="N27" s="94"/>
      <c r="O27" s="94"/>
      <c r="P27" s="94"/>
      <c r="Q27" s="82"/>
      <c r="R27" s="81"/>
      <c r="S27" s="81"/>
    </row>
    <row r="28" spans="1:19" x14ac:dyDescent="0.3">
      <c r="B28" s="90"/>
      <c r="F28" s="91"/>
      <c r="N28" s="82"/>
    </row>
    <row r="29" spans="1:19" ht="28.8" x14ac:dyDescent="0.3">
      <c r="A29" s="82" t="s">
        <v>464</v>
      </c>
      <c r="B29" s="83" t="s">
        <v>465</v>
      </c>
      <c r="C29" s="82" t="s">
        <v>372</v>
      </c>
      <c r="D29" s="82" t="s">
        <v>433</v>
      </c>
      <c r="E29" s="82" t="s">
        <v>466</v>
      </c>
      <c r="F29" s="84"/>
      <c r="G29" s="96" t="s">
        <v>467</v>
      </c>
      <c r="H29" s="82"/>
      <c r="I29" s="82"/>
      <c r="J29" s="85">
        <v>45896</v>
      </c>
      <c r="K29" s="82"/>
      <c r="L29" s="82"/>
      <c r="M29" s="82"/>
      <c r="N29" s="82" t="s">
        <v>468</v>
      </c>
      <c r="O29" s="82"/>
      <c r="P29" s="82"/>
      <c r="Q29" s="82"/>
      <c r="R29" s="81"/>
      <c r="S29" s="81"/>
    </row>
    <row r="30" spans="1:19" ht="100.8" x14ac:dyDescent="0.3">
      <c r="A30" s="82" t="s">
        <v>469</v>
      </c>
      <c r="B30" s="83" t="s">
        <v>470</v>
      </c>
      <c r="C30" s="82" t="s">
        <v>471</v>
      </c>
      <c r="D30" s="82" t="s">
        <v>433</v>
      </c>
      <c r="E30" s="82" t="s">
        <v>472</v>
      </c>
      <c r="F30" s="84" t="s">
        <v>473</v>
      </c>
      <c r="G30" s="96" t="s">
        <v>474</v>
      </c>
      <c r="H30" s="82">
        <v>4</v>
      </c>
      <c r="I30" s="82">
        <v>55</v>
      </c>
      <c r="J30" s="85">
        <v>45881</v>
      </c>
      <c r="K30" s="85">
        <v>45720</v>
      </c>
      <c r="L30" s="85">
        <v>45777</v>
      </c>
      <c r="M30" s="82"/>
      <c r="N30" s="85" t="s">
        <v>475</v>
      </c>
      <c r="O30" s="82"/>
      <c r="P30" s="82" t="s">
        <v>476</v>
      </c>
      <c r="Q30" s="82"/>
      <c r="R30" s="81"/>
      <c r="S30" s="81"/>
    </row>
    <row r="31" spans="1:19" ht="28.8" x14ac:dyDescent="0.3">
      <c r="A31" s="82" t="s">
        <v>477</v>
      </c>
      <c r="B31" s="83" t="s">
        <v>478</v>
      </c>
      <c r="C31" s="82" t="s">
        <v>372</v>
      </c>
      <c r="D31" s="82" t="s">
        <v>433</v>
      </c>
      <c r="E31" s="82" t="s">
        <v>466</v>
      </c>
      <c r="F31" s="84"/>
      <c r="G31" s="96" t="s">
        <v>467</v>
      </c>
      <c r="H31" s="82"/>
      <c r="I31" s="82"/>
      <c r="J31" s="85">
        <v>45981</v>
      </c>
      <c r="K31" s="82"/>
      <c r="L31" s="82"/>
      <c r="M31" s="82"/>
      <c r="N31" s="82" t="s">
        <v>479</v>
      </c>
      <c r="O31" s="82"/>
      <c r="P31" s="82"/>
      <c r="Q31" s="82"/>
      <c r="R31" s="81"/>
      <c r="S31" s="81"/>
    </row>
    <row r="32" spans="1:19" ht="28.8" x14ac:dyDescent="0.3">
      <c r="A32" s="82" t="s">
        <v>480</v>
      </c>
      <c r="B32" s="83" t="s">
        <v>481</v>
      </c>
      <c r="C32" s="82" t="s">
        <v>372</v>
      </c>
      <c r="D32" s="82" t="s">
        <v>433</v>
      </c>
      <c r="E32" s="82" t="s">
        <v>466</v>
      </c>
      <c r="F32" s="84"/>
      <c r="G32" s="96" t="s">
        <v>467</v>
      </c>
      <c r="H32" s="82">
        <v>2</v>
      </c>
      <c r="I32" s="82"/>
      <c r="J32" s="85">
        <v>45945</v>
      </c>
      <c r="K32" s="82"/>
      <c r="L32" s="82"/>
      <c r="M32" s="82"/>
      <c r="N32" s="85">
        <v>45939</v>
      </c>
      <c r="O32" s="82"/>
      <c r="P32" s="82"/>
      <c r="Q32" s="82"/>
      <c r="R32" s="81"/>
      <c r="S32" s="81"/>
    </row>
    <row r="33" spans="1:19" ht="28.8" x14ac:dyDescent="0.3">
      <c r="A33" s="82" t="s">
        <v>482</v>
      </c>
      <c r="B33" s="83"/>
      <c r="C33" s="82"/>
      <c r="D33" s="82"/>
      <c r="E33" s="82"/>
      <c r="F33" s="84"/>
      <c r="G33" s="96"/>
      <c r="H33" s="82"/>
      <c r="I33" s="82"/>
      <c r="J33" s="85"/>
      <c r="K33" s="82"/>
      <c r="L33" s="82"/>
      <c r="M33" s="82"/>
      <c r="N33" s="82"/>
      <c r="O33" s="82"/>
      <c r="P33" s="82"/>
      <c r="Q33" s="82"/>
      <c r="R33" s="81"/>
      <c r="S33" s="81"/>
    </row>
    <row r="34" spans="1:19" ht="28.8" x14ac:dyDescent="0.3">
      <c r="A34" s="82" t="s">
        <v>483</v>
      </c>
      <c r="B34" s="83"/>
      <c r="C34" s="82" t="s">
        <v>372</v>
      </c>
      <c r="D34" s="82" t="s">
        <v>433</v>
      </c>
      <c r="E34" s="82" t="s">
        <v>466</v>
      </c>
      <c r="F34" s="84"/>
      <c r="G34" s="96" t="s">
        <v>467</v>
      </c>
      <c r="H34" s="82"/>
      <c r="I34" s="82">
        <v>20</v>
      </c>
      <c r="J34" s="85">
        <v>45898</v>
      </c>
      <c r="K34" s="82"/>
      <c r="L34" s="82"/>
      <c r="M34" s="82"/>
      <c r="N34" s="82" t="s">
        <v>479</v>
      </c>
      <c r="O34" s="82"/>
      <c r="P34" s="82"/>
      <c r="Q34" s="82"/>
      <c r="R34" s="81"/>
      <c r="S34" s="81"/>
    </row>
    <row r="35" spans="1:19" ht="87" thickBot="1" x14ac:dyDescent="0.35">
      <c r="A35" s="82" t="s">
        <v>484</v>
      </c>
      <c r="B35" s="83"/>
      <c r="C35" s="82" t="s">
        <v>372</v>
      </c>
      <c r="D35" s="82" t="s">
        <v>485</v>
      </c>
      <c r="E35" s="82" t="s">
        <v>466</v>
      </c>
      <c r="F35" s="84"/>
      <c r="G35" s="96" t="s">
        <v>467</v>
      </c>
      <c r="H35" s="82" t="s">
        <v>486</v>
      </c>
      <c r="I35" s="82" t="s">
        <v>487</v>
      </c>
      <c r="J35" s="85">
        <v>45996</v>
      </c>
      <c r="K35" s="82" t="s">
        <v>488</v>
      </c>
      <c r="L35" s="82" t="s">
        <v>488</v>
      </c>
      <c r="M35" s="82" t="s">
        <v>86</v>
      </c>
      <c r="N35" s="97">
        <v>45996</v>
      </c>
      <c r="O35" s="82"/>
      <c r="P35" s="82" t="s">
        <v>489</v>
      </c>
      <c r="Q35" s="82"/>
      <c r="R35" s="81"/>
      <c r="S35" s="81"/>
    </row>
    <row r="36" spans="1:19" ht="15" thickBot="1" x14ac:dyDescent="0.35">
      <c r="A36" s="98" t="s">
        <v>78</v>
      </c>
      <c r="B36" s="99"/>
      <c r="C36" s="100"/>
      <c r="D36" s="100"/>
      <c r="E36" s="100"/>
      <c r="F36" s="101"/>
      <c r="G36" s="100"/>
      <c r="H36" s="100"/>
      <c r="I36" s="100"/>
      <c r="J36" s="100"/>
      <c r="K36" s="100"/>
      <c r="L36" s="100"/>
      <c r="M36" s="100"/>
      <c r="N36" s="100"/>
      <c r="O36" s="100"/>
      <c r="P36" s="100"/>
      <c r="Q36" s="82"/>
      <c r="R36" s="81"/>
      <c r="S36" s="81"/>
    </row>
    <row r="37" spans="1:19" ht="28.8" x14ac:dyDescent="0.3">
      <c r="A37" s="82" t="s">
        <v>490</v>
      </c>
      <c r="B37" s="83" t="s">
        <v>491</v>
      </c>
      <c r="C37" s="82" t="s">
        <v>78</v>
      </c>
      <c r="D37" s="82" t="s">
        <v>433</v>
      </c>
      <c r="E37" s="82" t="s">
        <v>492</v>
      </c>
      <c r="F37" s="84">
        <v>7657480973</v>
      </c>
      <c r="G37" s="102" t="s">
        <v>493</v>
      </c>
      <c r="H37" s="82"/>
      <c r="I37" s="82">
        <v>60</v>
      </c>
      <c r="J37" s="85">
        <v>45960</v>
      </c>
      <c r="K37" s="82"/>
      <c r="L37" s="82"/>
      <c r="M37" s="82" t="s">
        <v>494</v>
      </c>
      <c r="N37" s="82" t="s">
        <v>494</v>
      </c>
      <c r="O37" s="82"/>
      <c r="P37" s="82"/>
      <c r="Q37" s="82"/>
      <c r="R37" s="81"/>
      <c r="S37" s="81"/>
    </row>
    <row r="38" spans="1:19" ht="43.2" x14ac:dyDescent="0.3">
      <c r="A38" s="82" t="s">
        <v>495</v>
      </c>
      <c r="B38" s="83" t="s">
        <v>496</v>
      </c>
      <c r="C38" s="82" t="s">
        <v>78</v>
      </c>
      <c r="D38" s="82" t="s">
        <v>433</v>
      </c>
      <c r="E38" s="82" t="s">
        <v>492</v>
      </c>
      <c r="F38" s="84">
        <v>7657480973</v>
      </c>
      <c r="G38" s="102" t="s">
        <v>493</v>
      </c>
      <c r="H38" s="82"/>
      <c r="I38" s="82" t="s">
        <v>441</v>
      </c>
      <c r="J38" s="85">
        <v>45958</v>
      </c>
      <c r="K38" s="82"/>
      <c r="L38" s="82"/>
      <c r="M38" s="82" t="s">
        <v>494</v>
      </c>
      <c r="N38" s="82" t="s">
        <v>494</v>
      </c>
      <c r="O38" s="82"/>
      <c r="P38" s="82"/>
      <c r="Q38" s="82"/>
      <c r="R38" s="81"/>
      <c r="S38" s="81"/>
    </row>
    <row r="39" spans="1:19" ht="43.2" x14ac:dyDescent="0.3">
      <c r="A39" s="82" t="s">
        <v>497</v>
      </c>
      <c r="B39" s="83"/>
      <c r="C39" s="82"/>
      <c r="D39" s="82" t="s">
        <v>433</v>
      </c>
      <c r="E39" s="82" t="s">
        <v>492</v>
      </c>
      <c r="F39" s="84" t="s">
        <v>498</v>
      </c>
      <c r="G39" s="96" t="s">
        <v>493</v>
      </c>
      <c r="H39" s="82"/>
      <c r="I39" s="82" t="s">
        <v>441</v>
      </c>
      <c r="J39" s="85">
        <v>45995</v>
      </c>
      <c r="K39" s="82"/>
      <c r="L39" s="82"/>
      <c r="M39" s="82" t="s">
        <v>494</v>
      </c>
      <c r="N39" s="82" t="s">
        <v>494</v>
      </c>
      <c r="O39" s="82"/>
      <c r="P39" s="82"/>
      <c r="Q39" s="82"/>
      <c r="R39" s="81"/>
      <c r="S39" s="81"/>
    </row>
    <row r="40" spans="1:19" ht="72" x14ac:dyDescent="0.3">
      <c r="A40" s="82" t="s">
        <v>499</v>
      </c>
      <c r="B40" s="83"/>
      <c r="C40" s="82"/>
      <c r="D40" s="82" t="s">
        <v>485</v>
      </c>
      <c r="E40" s="82" t="s">
        <v>492</v>
      </c>
      <c r="F40" s="84" t="s">
        <v>498</v>
      </c>
      <c r="G40" s="96" t="s">
        <v>493</v>
      </c>
      <c r="H40" s="82"/>
      <c r="I40" s="82" t="s">
        <v>500</v>
      </c>
      <c r="J40" s="85">
        <v>45947</v>
      </c>
      <c r="K40" s="82"/>
      <c r="L40" s="82"/>
      <c r="M40" s="82"/>
      <c r="N40" s="97">
        <v>45965</v>
      </c>
      <c r="O40" s="82"/>
      <c r="P40" s="82" t="s">
        <v>501</v>
      </c>
      <c r="Q40" s="82"/>
      <c r="R40" s="81"/>
      <c r="S40" s="81"/>
    </row>
    <row r="41" spans="1:19" ht="29.4" thickBot="1" x14ac:dyDescent="0.35">
      <c r="A41" s="82" t="s">
        <v>502</v>
      </c>
      <c r="B41" s="83"/>
      <c r="C41" s="82"/>
      <c r="D41" s="82" t="s">
        <v>433</v>
      </c>
      <c r="E41" s="82" t="s">
        <v>503</v>
      </c>
      <c r="F41" s="84" t="s">
        <v>503</v>
      </c>
      <c r="G41" s="96" t="s">
        <v>504</v>
      </c>
      <c r="H41" s="82"/>
      <c r="I41" s="82" t="s">
        <v>505</v>
      </c>
      <c r="J41" s="85">
        <v>45943</v>
      </c>
      <c r="K41" s="82"/>
      <c r="L41" s="82"/>
      <c r="M41" s="82"/>
      <c r="N41" s="97">
        <v>45939</v>
      </c>
      <c r="O41" s="82"/>
      <c r="P41" s="82"/>
      <c r="Q41" s="82"/>
      <c r="R41" s="81"/>
      <c r="S41" s="81"/>
    </row>
    <row r="42" spans="1:19" ht="15" thickBot="1" x14ac:dyDescent="0.35">
      <c r="A42" s="103" t="s">
        <v>506</v>
      </c>
      <c r="B42" s="104"/>
      <c r="C42" s="105"/>
      <c r="D42" s="105"/>
      <c r="E42" s="105"/>
      <c r="F42" s="106"/>
      <c r="G42" s="105"/>
      <c r="H42" s="105"/>
      <c r="I42" s="105"/>
      <c r="J42" s="105"/>
      <c r="K42" s="105"/>
      <c r="L42" s="105"/>
      <c r="M42" s="105"/>
      <c r="N42" s="105"/>
      <c r="O42" s="105"/>
      <c r="P42" s="105"/>
      <c r="Q42" s="82"/>
      <c r="R42" s="81"/>
      <c r="S42" s="81"/>
    </row>
    <row r="43" spans="1:19" ht="43.2" x14ac:dyDescent="0.3">
      <c r="A43" s="82" t="s">
        <v>507</v>
      </c>
      <c r="B43" s="83" t="s">
        <v>508</v>
      </c>
      <c r="C43" s="82" t="s">
        <v>506</v>
      </c>
      <c r="D43" s="82" t="s">
        <v>433</v>
      </c>
      <c r="E43" s="82" t="s">
        <v>509</v>
      </c>
      <c r="F43" s="107" t="s">
        <v>510</v>
      </c>
      <c r="G43" s="102" t="s">
        <v>511</v>
      </c>
      <c r="H43" s="82"/>
      <c r="I43" s="82" t="s">
        <v>512</v>
      </c>
      <c r="J43" s="85">
        <v>45938</v>
      </c>
      <c r="K43" s="82"/>
      <c r="L43" s="85">
        <v>45782</v>
      </c>
      <c r="M43" s="82"/>
      <c r="N43" s="97">
        <v>45938</v>
      </c>
      <c r="O43" s="82"/>
      <c r="P43" s="82"/>
      <c r="Q43" s="82"/>
      <c r="R43" s="81"/>
      <c r="S43" s="81"/>
    </row>
    <row r="44" spans="1:19" ht="43.8" thickBot="1" x14ac:dyDescent="0.35">
      <c r="A44" s="82" t="s">
        <v>513</v>
      </c>
      <c r="B44" s="83" t="s">
        <v>508</v>
      </c>
      <c r="C44" s="82" t="s">
        <v>506</v>
      </c>
      <c r="D44" s="82" t="s">
        <v>433</v>
      </c>
      <c r="E44" s="82" t="s">
        <v>509</v>
      </c>
      <c r="F44" s="84" t="s">
        <v>510</v>
      </c>
      <c r="G44" s="96" t="s">
        <v>511</v>
      </c>
      <c r="H44" s="82"/>
      <c r="I44" s="82" t="s">
        <v>512</v>
      </c>
      <c r="J44" s="85"/>
      <c r="K44" s="82"/>
      <c r="L44" s="82"/>
      <c r="M44" s="82"/>
      <c r="N44" s="97">
        <v>45938</v>
      </c>
      <c r="O44" s="82"/>
      <c r="P44" s="82"/>
      <c r="Q44" s="82"/>
      <c r="R44" s="81"/>
      <c r="S44" s="81"/>
    </row>
    <row r="45" spans="1:19" ht="15" thickBot="1" x14ac:dyDescent="0.35">
      <c r="A45" s="108" t="s">
        <v>55</v>
      </c>
      <c r="B45" s="109"/>
      <c r="C45" s="110"/>
      <c r="D45" s="110"/>
      <c r="E45" s="110"/>
      <c r="F45" s="111"/>
      <c r="G45" s="110"/>
      <c r="H45" s="110"/>
      <c r="I45" s="110"/>
      <c r="J45" s="110"/>
      <c r="K45" s="110"/>
      <c r="L45" s="110"/>
      <c r="M45" s="110"/>
      <c r="N45" s="110"/>
      <c r="O45" s="110"/>
      <c r="P45" s="110"/>
      <c r="Q45" s="82"/>
      <c r="R45" s="81"/>
      <c r="S45" s="81"/>
    </row>
    <row r="46" spans="1:19" ht="72" x14ac:dyDescent="0.3">
      <c r="A46" s="82" t="s">
        <v>514</v>
      </c>
      <c r="B46" s="83" t="s">
        <v>515</v>
      </c>
      <c r="C46" s="82" t="s">
        <v>55</v>
      </c>
      <c r="D46" s="82" t="s">
        <v>433</v>
      </c>
      <c r="E46" s="82" t="s">
        <v>516</v>
      </c>
      <c r="F46" s="84" t="s">
        <v>517</v>
      </c>
      <c r="G46" s="112" t="s">
        <v>518</v>
      </c>
      <c r="H46" s="82"/>
      <c r="I46" s="82">
        <v>15</v>
      </c>
      <c r="J46" s="85">
        <v>45943</v>
      </c>
      <c r="K46" s="82" t="s">
        <v>519</v>
      </c>
      <c r="L46" s="82" t="s">
        <v>519</v>
      </c>
      <c r="M46" s="82" t="s">
        <v>519</v>
      </c>
      <c r="N46" s="97"/>
      <c r="O46" s="97">
        <v>45936</v>
      </c>
      <c r="P46" s="82" t="s">
        <v>520</v>
      </c>
      <c r="Q46" s="82"/>
      <c r="R46" s="81"/>
      <c r="S46" s="81"/>
    </row>
    <row r="47" spans="1:19" ht="57.6" x14ac:dyDescent="0.3">
      <c r="A47" s="82" t="s">
        <v>521</v>
      </c>
      <c r="B47" s="83" t="s">
        <v>522</v>
      </c>
      <c r="C47" s="82" t="s">
        <v>55</v>
      </c>
      <c r="D47" s="82" t="s">
        <v>433</v>
      </c>
      <c r="E47" s="82" t="s">
        <v>516</v>
      </c>
      <c r="F47" s="84" t="s">
        <v>517</v>
      </c>
      <c r="G47" s="112" t="s">
        <v>518</v>
      </c>
      <c r="H47" s="82"/>
      <c r="I47" s="82">
        <v>25</v>
      </c>
      <c r="J47" s="85">
        <v>45943</v>
      </c>
      <c r="K47" s="82" t="s">
        <v>519</v>
      </c>
      <c r="L47" s="82" t="s">
        <v>519</v>
      </c>
      <c r="M47" s="82" t="s">
        <v>519</v>
      </c>
      <c r="N47" s="97"/>
      <c r="O47" s="97">
        <v>45936</v>
      </c>
      <c r="P47" s="82" t="s">
        <v>523</v>
      </c>
      <c r="Q47" s="82"/>
      <c r="R47" s="81"/>
      <c r="S47" s="81"/>
    </row>
    <row r="48" spans="1:19" x14ac:dyDescent="0.3">
      <c r="A48" s="82"/>
      <c r="B48" s="83"/>
      <c r="C48" s="82"/>
      <c r="D48" s="82"/>
      <c r="E48" s="82"/>
      <c r="F48" s="84"/>
      <c r="G48" s="82"/>
      <c r="H48" s="82"/>
      <c r="I48" s="82"/>
      <c r="J48" s="82"/>
      <c r="K48" s="82"/>
      <c r="L48" s="82"/>
      <c r="M48" s="82"/>
      <c r="N48" s="82"/>
      <c r="O48" s="82"/>
      <c r="P48" s="82"/>
      <c r="Q48" s="82"/>
      <c r="R48" s="81"/>
      <c r="S48" s="81"/>
    </row>
    <row r="49" spans="1:19" ht="15" thickBot="1" x14ac:dyDescent="0.35">
      <c r="A49" s="82"/>
      <c r="B49" s="83"/>
      <c r="C49" s="82"/>
      <c r="D49" s="82"/>
      <c r="E49" s="82"/>
      <c r="F49" s="84"/>
      <c r="G49" s="82"/>
      <c r="H49" s="82"/>
      <c r="I49" s="82"/>
      <c r="J49" s="82"/>
      <c r="K49" s="82"/>
      <c r="L49" s="82"/>
      <c r="M49" s="82"/>
      <c r="N49" s="82"/>
      <c r="O49" s="82"/>
      <c r="P49" s="82"/>
      <c r="Q49" s="82"/>
      <c r="R49" s="81"/>
      <c r="S49" s="81"/>
    </row>
    <row r="50" spans="1:19" ht="15" thickBot="1" x14ac:dyDescent="0.35">
      <c r="A50" s="113" t="s">
        <v>524</v>
      </c>
      <c r="B50" s="114"/>
      <c r="C50" s="115"/>
      <c r="D50" s="115"/>
      <c r="E50" s="115"/>
      <c r="F50" s="116"/>
      <c r="G50" s="115"/>
      <c r="H50" s="115"/>
      <c r="I50" s="115"/>
      <c r="J50" s="115"/>
      <c r="K50" s="115"/>
      <c r="L50" s="115"/>
      <c r="M50" s="115"/>
      <c r="N50" s="115"/>
      <c r="O50" s="115"/>
      <c r="P50" s="115"/>
      <c r="Q50" s="82"/>
      <c r="R50" s="81"/>
      <c r="S50" s="81"/>
    </row>
    <row r="51" spans="1:19" ht="57.6" x14ac:dyDescent="0.3">
      <c r="A51" s="82" t="s">
        <v>525</v>
      </c>
      <c r="B51" s="83"/>
      <c r="C51" s="82" t="s">
        <v>524</v>
      </c>
      <c r="D51" s="82"/>
      <c r="E51" s="82" t="s">
        <v>526</v>
      </c>
      <c r="F51" s="107" t="s">
        <v>527</v>
      </c>
      <c r="G51" s="102" t="s">
        <v>528</v>
      </c>
      <c r="H51" s="82"/>
      <c r="I51" s="82" t="s">
        <v>529</v>
      </c>
      <c r="J51" s="85">
        <v>45943</v>
      </c>
      <c r="K51" s="85">
        <v>45765</v>
      </c>
      <c r="L51" s="85">
        <v>45770</v>
      </c>
      <c r="M51" s="85">
        <v>45806</v>
      </c>
      <c r="N51" s="85" t="s">
        <v>530</v>
      </c>
      <c r="O51" s="85">
        <v>45936</v>
      </c>
      <c r="P51" s="82" t="s">
        <v>531</v>
      </c>
      <c r="Q51" s="82"/>
      <c r="R51" s="81"/>
      <c r="S51" s="81"/>
    </row>
    <row r="52" spans="1:19" ht="15" thickBot="1" x14ac:dyDescent="0.35">
      <c r="A52" s="82"/>
      <c r="B52" s="83"/>
      <c r="C52" s="82"/>
      <c r="D52" s="82"/>
      <c r="E52" s="82"/>
      <c r="F52" s="84"/>
      <c r="G52" s="82"/>
      <c r="H52" s="82"/>
      <c r="I52" s="82"/>
      <c r="J52" s="82"/>
      <c r="K52" s="82"/>
      <c r="L52" s="82"/>
      <c r="M52" s="82"/>
      <c r="N52" s="82"/>
      <c r="O52" s="82"/>
      <c r="P52" s="82"/>
      <c r="Q52" s="82"/>
      <c r="R52" s="81"/>
      <c r="S52" s="81"/>
    </row>
    <row r="53" spans="1:19" ht="15" thickBot="1" x14ac:dyDescent="0.35">
      <c r="A53" s="117" t="s">
        <v>532</v>
      </c>
      <c r="B53" s="118"/>
      <c r="C53" s="119"/>
      <c r="D53" s="119"/>
      <c r="E53" s="119"/>
      <c r="F53" s="120"/>
      <c r="G53" s="119"/>
      <c r="H53" s="119"/>
      <c r="I53" s="119"/>
      <c r="J53" s="119"/>
      <c r="K53" s="119"/>
      <c r="L53" s="119"/>
      <c r="M53" s="119"/>
      <c r="N53" s="119"/>
      <c r="O53" s="119"/>
      <c r="P53" s="119"/>
      <c r="Q53" s="82"/>
      <c r="R53" s="81"/>
      <c r="S53" s="81"/>
    </row>
    <row r="54" spans="1:19" ht="28.8" x14ac:dyDescent="0.3">
      <c r="A54" s="82" t="s">
        <v>533</v>
      </c>
      <c r="B54" s="83" t="s">
        <v>534</v>
      </c>
      <c r="C54" s="82" t="s">
        <v>535</v>
      </c>
      <c r="D54" s="82" t="s">
        <v>425</v>
      </c>
      <c r="E54" s="82" t="s">
        <v>536</v>
      </c>
      <c r="F54" s="84" t="s">
        <v>537</v>
      </c>
      <c r="G54" s="112" t="s">
        <v>538</v>
      </c>
      <c r="H54" s="82">
        <v>4</v>
      </c>
      <c r="I54" s="82">
        <v>0</v>
      </c>
      <c r="J54" s="85">
        <v>45835</v>
      </c>
      <c r="K54" s="82"/>
      <c r="L54" s="82"/>
      <c r="M54" s="82"/>
      <c r="N54" s="82" t="s">
        <v>468</v>
      </c>
      <c r="O54" s="82"/>
      <c r="P54" s="82"/>
      <c r="Q54" s="82"/>
      <c r="R54" s="81"/>
      <c r="S54" s="81"/>
    </row>
    <row r="55" spans="1:19" x14ac:dyDescent="0.3">
      <c r="A55" s="82"/>
      <c r="B55" s="83"/>
      <c r="C55" s="82"/>
      <c r="D55" s="82"/>
      <c r="E55" s="82"/>
      <c r="F55" s="84"/>
      <c r="G55" s="82"/>
      <c r="H55" s="82"/>
      <c r="I55" s="82"/>
      <c r="J55" s="82"/>
      <c r="K55" s="82"/>
      <c r="L55" s="82"/>
      <c r="M55" s="82"/>
      <c r="N55" s="82"/>
      <c r="O55" s="82"/>
      <c r="P55" s="82"/>
      <c r="Q55" s="82"/>
      <c r="R55" s="81"/>
      <c r="S55" s="81"/>
    </row>
    <row r="56" spans="1:19" ht="15" thickBot="1" x14ac:dyDescent="0.35">
      <c r="A56" s="82"/>
      <c r="B56" s="83"/>
      <c r="C56" s="82"/>
      <c r="D56" s="82"/>
      <c r="E56" s="82"/>
      <c r="F56" s="84"/>
      <c r="G56" s="82"/>
      <c r="H56" s="82"/>
      <c r="I56" s="82"/>
      <c r="J56" s="82"/>
      <c r="K56" s="82"/>
      <c r="L56" s="82"/>
      <c r="M56" s="82"/>
      <c r="N56" s="82"/>
      <c r="O56" s="82"/>
      <c r="P56" s="82"/>
      <c r="Q56" s="82"/>
      <c r="R56" s="81"/>
      <c r="S56" s="81"/>
    </row>
    <row r="57" spans="1:19" ht="15" thickBot="1" x14ac:dyDescent="0.35">
      <c r="A57" s="121" t="s">
        <v>347</v>
      </c>
      <c r="B57" s="122"/>
      <c r="C57" s="123"/>
      <c r="D57" s="123"/>
      <c r="E57" s="123"/>
      <c r="F57" s="124"/>
      <c r="G57" s="123"/>
      <c r="H57" s="123"/>
      <c r="I57" s="123"/>
      <c r="J57" s="123"/>
      <c r="K57" s="123"/>
      <c r="L57" s="123"/>
      <c r="M57" s="123"/>
      <c r="N57" s="123"/>
      <c r="O57" s="123"/>
      <c r="P57" s="123"/>
      <c r="Q57" s="82"/>
      <c r="R57" s="81"/>
      <c r="S57" s="81"/>
    </row>
    <row r="58" spans="1:19" ht="28.8" x14ac:dyDescent="0.3">
      <c r="A58" s="82" t="s">
        <v>539</v>
      </c>
      <c r="B58" s="83" t="s">
        <v>540</v>
      </c>
      <c r="C58" s="82" t="s">
        <v>347</v>
      </c>
      <c r="D58" s="82" t="s">
        <v>485</v>
      </c>
      <c r="E58" s="82" t="s">
        <v>541</v>
      </c>
      <c r="F58" s="84" t="s">
        <v>542</v>
      </c>
      <c r="G58" s="82" t="s">
        <v>543</v>
      </c>
      <c r="H58" s="82">
        <v>3</v>
      </c>
      <c r="I58" s="82">
        <v>45</v>
      </c>
      <c r="J58" s="85">
        <v>45938</v>
      </c>
      <c r="K58" s="82"/>
      <c r="L58" s="82"/>
      <c r="M58" s="82"/>
      <c r="N58" s="85">
        <v>45901</v>
      </c>
      <c r="O58" s="97">
        <v>45938</v>
      </c>
      <c r="P58" s="82"/>
      <c r="Q58" s="82"/>
      <c r="R58" s="81"/>
      <c r="S58" s="81"/>
    </row>
    <row r="59" spans="1:19" ht="28.8" x14ac:dyDescent="0.3">
      <c r="A59" s="82" t="s">
        <v>544</v>
      </c>
      <c r="B59" s="83"/>
      <c r="C59" s="82" t="s">
        <v>347</v>
      </c>
      <c r="D59" s="82" t="s">
        <v>485</v>
      </c>
      <c r="E59" s="82" t="s">
        <v>541</v>
      </c>
      <c r="F59" s="84" t="s">
        <v>542</v>
      </c>
      <c r="G59" s="96" t="s">
        <v>543</v>
      </c>
      <c r="H59" s="82"/>
      <c r="I59" s="82"/>
      <c r="J59" s="85" t="s">
        <v>86</v>
      </c>
      <c r="K59" s="82"/>
      <c r="L59" s="82"/>
      <c r="M59" s="82"/>
      <c r="N59" s="85">
        <v>45933</v>
      </c>
      <c r="O59" s="97">
        <v>45938</v>
      </c>
      <c r="P59" s="82"/>
      <c r="Q59" s="82"/>
      <c r="R59" s="81"/>
      <c r="S59" s="81"/>
    </row>
    <row r="60" spans="1:19" ht="15" thickBot="1" x14ac:dyDescent="0.35">
      <c r="A60" s="82" t="s">
        <v>545</v>
      </c>
      <c r="B60" s="83"/>
      <c r="C60" s="82"/>
      <c r="D60" s="82"/>
      <c r="E60" s="82"/>
      <c r="F60" s="84"/>
      <c r="G60" s="82"/>
      <c r="H60" s="82"/>
      <c r="I60" s="82"/>
      <c r="J60" s="82"/>
      <c r="K60" s="82"/>
      <c r="L60" s="82"/>
      <c r="M60" s="82"/>
      <c r="N60" s="82"/>
      <c r="O60" s="82"/>
      <c r="P60" s="82"/>
      <c r="Q60" s="82"/>
      <c r="R60" s="81"/>
      <c r="S60" s="81"/>
    </row>
    <row r="61" spans="1:19" ht="15" thickBot="1" x14ac:dyDescent="0.35">
      <c r="A61" s="125" t="s">
        <v>546</v>
      </c>
      <c r="B61" s="126"/>
      <c r="C61" s="127"/>
      <c r="D61" s="127"/>
      <c r="E61" s="127"/>
      <c r="F61" s="128"/>
      <c r="G61" s="127"/>
      <c r="H61" s="127"/>
      <c r="I61" s="127"/>
      <c r="J61" s="127"/>
      <c r="K61" s="127"/>
      <c r="L61" s="127"/>
      <c r="M61" s="127"/>
      <c r="N61" s="127"/>
      <c r="O61" s="127"/>
      <c r="P61" s="127"/>
      <c r="Q61" s="82"/>
      <c r="R61" s="81"/>
      <c r="S61" s="81"/>
    </row>
    <row r="62" spans="1:19" ht="86.4" x14ac:dyDescent="0.3">
      <c r="A62" s="82" t="s">
        <v>547</v>
      </c>
      <c r="B62" s="83" t="s">
        <v>548</v>
      </c>
      <c r="C62" s="82" t="s">
        <v>546</v>
      </c>
      <c r="D62" s="82" t="s">
        <v>485</v>
      </c>
      <c r="E62" s="82" t="s">
        <v>549</v>
      </c>
      <c r="F62" s="84" t="s">
        <v>550</v>
      </c>
      <c r="G62" s="82" t="s">
        <v>551</v>
      </c>
      <c r="H62" s="82">
        <v>1</v>
      </c>
      <c r="I62" s="82">
        <v>60</v>
      </c>
      <c r="J62" s="85">
        <v>45957</v>
      </c>
      <c r="K62" s="85">
        <v>45763</v>
      </c>
      <c r="L62" s="85">
        <v>45771</v>
      </c>
      <c r="M62" s="85">
        <v>45771</v>
      </c>
      <c r="N62" s="85">
        <v>45957</v>
      </c>
      <c r="O62" s="82"/>
      <c r="P62" s="82" t="s">
        <v>552</v>
      </c>
      <c r="Q62" s="82"/>
      <c r="R62" s="81"/>
      <c r="S62" s="81"/>
    </row>
    <row r="63" spans="1:19" ht="15" thickBot="1" x14ac:dyDescent="0.35">
      <c r="A63" s="82"/>
      <c r="B63" s="83"/>
      <c r="C63" s="82"/>
      <c r="D63" s="82"/>
      <c r="E63" s="82"/>
      <c r="F63" s="84"/>
      <c r="G63" s="82"/>
      <c r="H63" s="82"/>
      <c r="I63" s="82"/>
      <c r="J63" s="82"/>
      <c r="K63" s="82"/>
      <c r="L63" s="82"/>
      <c r="M63" s="82"/>
      <c r="N63" s="82"/>
      <c r="O63" s="82"/>
      <c r="P63" s="82"/>
      <c r="Q63" s="82"/>
      <c r="R63" s="81"/>
      <c r="S63" s="81"/>
    </row>
    <row r="64" spans="1:19" ht="29.4" thickBot="1" x14ac:dyDescent="0.35">
      <c r="A64" s="129" t="s">
        <v>553</v>
      </c>
      <c r="B64" s="130"/>
      <c r="C64" s="131"/>
      <c r="D64" s="131"/>
      <c r="E64" s="131"/>
      <c r="F64" s="132"/>
      <c r="G64" s="131"/>
      <c r="H64" s="131"/>
      <c r="I64" s="131"/>
      <c r="J64" s="131"/>
      <c r="K64" s="131"/>
      <c r="L64" s="131"/>
      <c r="M64" s="131"/>
      <c r="N64" s="131"/>
      <c r="O64" s="131"/>
      <c r="P64" s="131"/>
      <c r="Q64" s="82"/>
      <c r="R64" s="81"/>
      <c r="S64" s="81"/>
    </row>
    <row r="65" spans="1:19" ht="144" x14ac:dyDescent="0.3">
      <c r="A65" s="82" t="s">
        <v>554</v>
      </c>
      <c r="B65" s="83" t="s">
        <v>555</v>
      </c>
      <c r="C65" s="82" t="s">
        <v>553</v>
      </c>
      <c r="D65" s="82" t="s">
        <v>485</v>
      </c>
      <c r="E65" s="82" t="s">
        <v>556</v>
      </c>
      <c r="F65" s="84">
        <v>3178393050</v>
      </c>
      <c r="G65" s="96" t="s">
        <v>557</v>
      </c>
      <c r="H65" s="82"/>
      <c r="I65" s="82" t="s">
        <v>558</v>
      </c>
      <c r="J65" s="85">
        <v>45930</v>
      </c>
      <c r="K65" s="85">
        <v>45784</v>
      </c>
      <c r="L65" s="82"/>
      <c r="M65" s="82"/>
      <c r="N65" s="85">
        <v>45930</v>
      </c>
      <c r="O65" s="82"/>
      <c r="P65" s="82" t="s">
        <v>559</v>
      </c>
      <c r="Q65" s="82"/>
      <c r="R65" s="81"/>
      <c r="S65" s="81"/>
    </row>
    <row r="66" spans="1:19" ht="43.8" thickBot="1" x14ac:dyDescent="0.35">
      <c r="A66" s="82" t="s">
        <v>560</v>
      </c>
      <c r="B66" s="83"/>
      <c r="C66" s="82" t="s">
        <v>553</v>
      </c>
      <c r="D66" s="82" t="s">
        <v>485</v>
      </c>
      <c r="E66" s="82" t="s">
        <v>556</v>
      </c>
      <c r="F66" s="84" t="s">
        <v>561</v>
      </c>
      <c r="G66" s="96" t="s">
        <v>557</v>
      </c>
      <c r="H66" s="82"/>
      <c r="I66" s="82" t="s">
        <v>558</v>
      </c>
      <c r="J66" s="82"/>
      <c r="K66" s="82"/>
      <c r="L66" s="82"/>
      <c r="M66" s="82"/>
      <c r="N66" s="82"/>
      <c r="O66" s="82"/>
      <c r="P66" s="82"/>
      <c r="Q66" s="82"/>
      <c r="R66" s="81"/>
      <c r="S66" s="81"/>
    </row>
    <row r="67" spans="1:19" ht="15" thickBot="1" x14ac:dyDescent="0.35">
      <c r="A67" s="133" t="s">
        <v>562</v>
      </c>
      <c r="B67" s="134"/>
      <c r="C67" s="135"/>
      <c r="D67" s="135"/>
      <c r="E67" s="135"/>
      <c r="F67" s="136"/>
      <c r="G67" s="135"/>
      <c r="H67" s="135"/>
      <c r="I67" s="135"/>
      <c r="J67" s="135"/>
      <c r="K67" s="135"/>
      <c r="L67" s="135"/>
      <c r="M67" s="135"/>
      <c r="N67" s="135"/>
      <c r="O67" s="135"/>
      <c r="P67" s="135"/>
      <c r="Q67" s="135"/>
      <c r="R67" s="137"/>
      <c r="S67" s="137"/>
    </row>
    <row r="68" spans="1:19" ht="43.2" x14ac:dyDescent="0.3">
      <c r="A68" s="82" t="s">
        <v>563</v>
      </c>
      <c r="B68" s="83" t="s">
        <v>564</v>
      </c>
      <c r="C68" s="82" t="s">
        <v>562</v>
      </c>
      <c r="D68" s="82" t="s">
        <v>433</v>
      </c>
      <c r="E68" s="82" t="s">
        <v>565</v>
      </c>
      <c r="F68" s="84" t="s">
        <v>566</v>
      </c>
      <c r="G68" s="96" t="s">
        <v>567</v>
      </c>
      <c r="H68" s="82">
        <v>2</v>
      </c>
      <c r="I68" s="82" t="s">
        <v>568</v>
      </c>
      <c r="J68" s="85">
        <v>45971</v>
      </c>
      <c r="K68" s="82"/>
      <c r="L68" s="82"/>
      <c r="M68" s="82"/>
      <c r="N68" s="97">
        <v>45947</v>
      </c>
      <c r="O68" s="82"/>
      <c r="P68" s="82" t="s">
        <v>569</v>
      </c>
      <c r="Q68" s="82"/>
      <c r="R68" s="81"/>
      <c r="S68" s="81"/>
    </row>
    <row r="69" spans="1:19" ht="28.8" x14ac:dyDescent="0.3">
      <c r="A69" s="82" t="s">
        <v>570</v>
      </c>
      <c r="B69" s="83" t="s">
        <v>400</v>
      </c>
      <c r="C69" s="82" t="s">
        <v>562</v>
      </c>
      <c r="D69" s="82" t="s">
        <v>433</v>
      </c>
      <c r="E69" s="82" t="s">
        <v>565</v>
      </c>
      <c r="F69" s="84" t="s">
        <v>566</v>
      </c>
      <c r="G69" s="96" t="s">
        <v>567</v>
      </c>
      <c r="H69" s="82">
        <v>3</v>
      </c>
      <c r="I69" s="82" t="s">
        <v>571</v>
      </c>
      <c r="J69" s="85">
        <v>45834</v>
      </c>
      <c r="K69" s="82"/>
      <c r="L69" s="82"/>
      <c r="M69" s="85">
        <v>45826</v>
      </c>
      <c r="N69" s="85">
        <v>45834</v>
      </c>
      <c r="O69" s="85">
        <v>45841</v>
      </c>
      <c r="P69" s="82" t="s">
        <v>468</v>
      </c>
      <c r="Q69" s="82"/>
      <c r="R69" s="81"/>
      <c r="S69" s="81"/>
    </row>
    <row r="70" spans="1:19" ht="15" thickBot="1" x14ac:dyDescent="0.35">
      <c r="A70" s="82"/>
      <c r="B70" s="83"/>
      <c r="C70" s="82"/>
      <c r="D70" s="82"/>
      <c r="E70" s="82"/>
      <c r="F70" s="84"/>
      <c r="G70" s="96"/>
      <c r="H70" s="82"/>
      <c r="I70" s="82"/>
      <c r="J70" s="85"/>
      <c r="K70" s="82"/>
      <c r="L70" s="82"/>
      <c r="M70" s="85"/>
      <c r="N70" s="82"/>
      <c r="O70" s="85"/>
      <c r="P70" s="82"/>
      <c r="Q70" s="82"/>
      <c r="R70" s="81"/>
      <c r="S70" s="81"/>
    </row>
    <row r="71" spans="1:19" ht="15" thickBot="1" x14ac:dyDescent="0.35">
      <c r="A71" s="138" t="s">
        <v>572</v>
      </c>
      <c r="B71" s="139"/>
      <c r="C71" s="140"/>
      <c r="D71" s="140"/>
      <c r="E71" s="140"/>
      <c r="F71" s="141"/>
      <c r="G71" s="142"/>
      <c r="H71" s="140"/>
      <c r="I71" s="140"/>
      <c r="J71" s="143"/>
      <c r="K71" s="140"/>
      <c r="L71" s="140"/>
      <c r="M71" s="143"/>
      <c r="N71" s="143"/>
      <c r="O71" s="143"/>
      <c r="P71" s="140"/>
      <c r="Q71" s="82"/>
      <c r="R71" s="81"/>
      <c r="S71" s="81"/>
    </row>
    <row r="72" spans="1:19" ht="43.2" x14ac:dyDescent="0.3">
      <c r="A72" s="82" t="s">
        <v>573</v>
      </c>
      <c r="B72" s="83" t="s">
        <v>574</v>
      </c>
      <c r="C72" s="82" t="s">
        <v>435</v>
      </c>
      <c r="D72" s="82" t="s">
        <v>433</v>
      </c>
      <c r="E72" s="82" t="s">
        <v>438</v>
      </c>
      <c r="F72" s="84" t="s">
        <v>439</v>
      </c>
      <c r="G72" s="82" t="s">
        <v>440</v>
      </c>
      <c r="H72" s="82"/>
      <c r="I72" s="82" t="s">
        <v>441</v>
      </c>
      <c r="J72" s="85">
        <v>45975</v>
      </c>
      <c r="K72" s="82"/>
      <c r="L72" s="82"/>
      <c r="M72" s="85">
        <v>45901</v>
      </c>
      <c r="N72" s="82" t="s">
        <v>442</v>
      </c>
      <c r="O72" s="82"/>
      <c r="P72" s="82"/>
      <c r="Q72" s="82"/>
      <c r="R72" s="81"/>
      <c r="S72" s="81"/>
    </row>
    <row r="73" spans="1:19" ht="43.2" x14ac:dyDescent="0.3">
      <c r="A73" s="82" t="s">
        <v>575</v>
      </c>
      <c r="B73" s="83"/>
      <c r="C73" s="82" t="s">
        <v>435</v>
      </c>
      <c r="D73" s="82" t="s">
        <v>433</v>
      </c>
      <c r="E73" s="82" t="s">
        <v>438</v>
      </c>
      <c r="F73" s="84" t="s">
        <v>439</v>
      </c>
      <c r="G73" s="82" t="s">
        <v>440</v>
      </c>
      <c r="H73" s="82"/>
      <c r="I73" s="82" t="s">
        <v>441</v>
      </c>
      <c r="J73" s="85">
        <v>46029</v>
      </c>
      <c r="K73" s="82"/>
      <c r="L73" s="82"/>
      <c r="M73" s="85">
        <v>45901</v>
      </c>
      <c r="N73" s="82" t="s">
        <v>442</v>
      </c>
      <c r="O73" s="82"/>
      <c r="P73" s="82"/>
      <c r="Q73" s="82"/>
      <c r="R73" s="81"/>
      <c r="S73" s="81"/>
    </row>
    <row r="74" spans="1:19" ht="43.2" x14ac:dyDescent="0.3">
      <c r="A74" s="82" t="s">
        <v>576</v>
      </c>
      <c r="B74" s="83" t="s">
        <v>577</v>
      </c>
      <c r="C74" s="82" t="s">
        <v>435</v>
      </c>
      <c r="D74" s="82" t="s">
        <v>433</v>
      </c>
      <c r="E74" s="82" t="s">
        <v>438</v>
      </c>
      <c r="F74" s="84" t="s">
        <v>439</v>
      </c>
      <c r="G74" s="96" t="s">
        <v>440</v>
      </c>
      <c r="H74" s="82"/>
      <c r="I74" s="82" t="s">
        <v>441</v>
      </c>
      <c r="J74" s="85">
        <v>45936</v>
      </c>
      <c r="K74" s="82"/>
      <c r="L74" s="82"/>
      <c r="M74" s="85">
        <v>45901</v>
      </c>
      <c r="N74" s="82" t="s">
        <v>442</v>
      </c>
      <c r="O74" s="82"/>
      <c r="P74" s="82"/>
      <c r="Q74" s="82"/>
      <c r="R74" s="81"/>
      <c r="S74" s="81"/>
    </row>
    <row r="75" spans="1:19" ht="43.2" x14ac:dyDescent="0.3">
      <c r="A75" s="82" t="s">
        <v>578</v>
      </c>
      <c r="B75" s="83" t="s">
        <v>577</v>
      </c>
      <c r="C75" s="82" t="s">
        <v>435</v>
      </c>
      <c r="D75" s="82" t="s">
        <v>433</v>
      </c>
      <c r="E75" s="82" t="s">
        <v>438</v>
      </c>
      <c r="F75" s="84" t="s">
        <v>439</v>
      </c>
      <c r="G75" s="82" t="s">
        <v>440</v>
      </c>
      <c r="H75" s="82"/>
      <c r="I75" s="82" t="s">
        <v>441</v>
      </c>
      <c r="J75" s="85">
        <v>45936</v>
      </c>
      <c r="K75" s="82"/>
      <c r="L75" s="82"/>
      <c r="M75" s="85">
        <v>45901</v>
      </c>
      <c r="N75" s="82" t="s">
        <v>442</v>
      </c>
      <c r="O75" s="82"/>
      <c r="P75" s="82"/>
      <c r="Q75" s="82"/>
      <c r="R75" s="81"/>
      <c r="S75" s="81"/>
    </row>
    <row r="76" spans="1:19" x14ac:dyDescent="0.3">
      <c r="B76" s="90"/>
      <c r="F76" s="91"/>
      <c r="N76" s="82"/>
    </row>
    <row r="77" spans="1:19" x14ac:dyDescent="0.3">
      <c r="A77" s="82"/>
      <c r="B77" s="83"/>
      <c r="C77" s="82"/>
      <c r="D77" s="82"/>
      <c r="E77" s="82"/>
      <c r="F77" s="84"/>
      <c r="G77" s="96"/>
      <c r="H77" s="82"/>
      <c r="I77" s="82"/>
      <c r="J77" s="85"/>
      <c r="K77" s="82"/>
      <c r="L77" s="82"/>
      <c r="M77" s="85"/>
      <c r="N77" s="82"/>
      <c r="O77" s="85"/>
      <c r="P77" s="82"/>
      <c r="Q77" s="82"/>
      <c r="R77" s="81"/>
      <c r="S77" s="81"/>
    </row>
    <row r="78" spans="1:19" x14ac:dyDescent="0.3">
      <c r="A78" s="82"/>
      <c r="B78" s="83"/>
      <c r="C78" s="82"/>
      <c r="D78" s="82"/>
      <c r="E78" s="82"/>
      <c r="F78" s="84"/>
      <c r="G78" s="96"/>
      <c r="H78" s="82"/>
      <c r="I78" s="82"/>
      <c r="J78" s="85"/>
      <c r="K78" s="82"/>
      <c r="L78" s="82"/>
      <c r="M78" s="85"/>
      <c r="N78" s="82"/>
      <c r="O78" s="85"/>
      <c r="P78" s="82"/>
      <c r="Q78" s="82"/>
      <c r="R78" s="81"/>
      <c r="S78" s="81"/>
    </row>
    <row r="79" spans="1:19" ht="15" thickBot="1" x14ac:dyDescent="0.35">
      <c r="A79" s="82"/>
      <c r="B79" s="83"/>
      <c r="C79" s="82"/>
      <c r="D79" s="82"/>
      <c r="E79" s="82"/>
      <c r="F79" s="84"/>
      <c r="G79" s="96"/>
      <c r="H79" s="82"/>
      <c r="I79" s="82"/>
      <c r="J79" s="85"/>
      <c r="K79" s="82"/>
      <c r="L79" s="82"/>
      <c r="M79" s="85"/>
      <c r="N79" s="82"/>
      <c r="O79" s="85"/>
      <c r="P79" s="82"/>
      <c r="Q79" s="82"/>
      <c r="R79" s="81"/>
      <c r="S79" s="81"/>
    </row>
    <row r="80" spans="1:19" ht="15" thickBot="1" x14ac:dyDescent="0.35">
      <c r="A80" s="144" t="s">
        <v>339</v>
      </c>
      <c r="B80" s="145"/>
      <c r="C80" s="146"/>
      <c r="D80" s="146"/>
      <c r="E80" s="146"/>
      <c r="F80" s="147"/>
      <c r="G80" s="148"/>
      <c r="H80" s="146"/>
      <c r="I80" s="146"/>
      <c r="J80" s="149"/>
      <c r="K80" s="146"/>
      <c r="L80" s="146"/>
      <c r="M80" s="149"/>
      <c r="N80" s="149"/>
      <c r="O80" s="149"/>
      <c r="P80" s="146"/>
      <c r="Q80" s="82"/>
      <c r="R80" s="81"/>
      <c r="S80" s="81"/>
    </row>
    <row r="81" spans="1:19" ht="57.6" x14ac:dyDescent="0.3">
      <c r="A81" s="82" t="s">
        <v>579</v>
      </c>
      <c r="B81" s="83" t="s">
        <v>580</v>
      </c>
      <c r="C81" s="82" t="s">
        <v>339</v>
      </c>
      <c r="D81" s="82" t="s">
        <v>485</v>
      </c>
      <c r="E81" s="82" t="s">
        <v>581</v>
      </c>
      <c r="F81" s="84" t="s">
        <v>582</v>
      </c>
      <c r="G81" s="96" t="s">
        <v>583</v>
      </c>
      <c r="H81" s="82"/>
      <c r="I81" s="82" t="s">
        <v>584</v>
      </c>
      <c r="J81" s="85">
        <v>45940</v>
      </c>
      <c r="K81" s="85">
        <v>45887</v>
      </c>
      <c r="L81" s="85">
        <v>45894</v>
      </c>
      <c r="M81" s="85">
        <v>45894</v>
      </c>
      <c r="N81" s="85">
        <v>45953</v>
      </c>
      <c r="O81" s="85"/>
      <c r="P81" s="82" t="s">
        <v>585</v>
      </c>
      <c r="Q81" s="82"/>
      <c r="R81" s="81"/>
      <c r="S81" s="81"/>
    </row>
    <row r="82" spans="1:19" ht="28.8" x14ac:dyDescent="0.3">
      <c r="A82" s="82" t="s">
        <v>586</v>
      </c>
      <c r="B82" s="83" t="s">
        <v>580</v>
      </c>
      <c r="C82" s="82" t="s">
        <v>339</v>
      </c>
      <c r="D82" s="82" t="s">
        <v>485</v>
      </c>
      <c r="E82" s="82" t="s">
        <v>581</v>
      </c>
      <c r="F82" s="84" t="s">
        <v>582</v>
      </c>
      <c r="G82" s="96" t="s">
        <v>583</v>
      </c>
      <c r="H82" s="82"/>
      <c r="I82" s="82" t="s">
        <v>587</v>
      </c>
      <c r="J82" s="85">
        <v>45982</v>
      </c>
      <c r="K82" s="85">
        <v>45887</v>
      </c>
      <c r="L82" s="85">
        <v>45894</v>
      </c>
      <c r="M82" s="85">
        <v>45894</v>
      </c>
      <c r="N82" s="85">
        <v>45946</v>
      </c>
      <c r="O82" s="85"/>
      <c r="P82" s="82" t="s">
        <v>588</v>
      </c>
      <c r="Q82" s="82"/>
      <c r="R82" s="81"/>
      <c r="S82" s="81"/>
    </row>
    <row r="83" spans="1:19" ht="57.6" x14ac:dyDescent="0.3">
      <c r="A83" s="82" t="s">
        <v>589</v>
      </c>
      <c r="B83" s="83" t="s">
        <v>580</v>
      </c>
      <c r="C83" s="82" t="s">
        <v>339</v>
      </c>
      <c r="D83" s="82" t="s">
        <v>485</v>
      </c>
      <c r="E83" s="82" t="s">
        <v>581</v>
      </c>
      <c r="F83" s="84" t="s">
        <v>582</v>
      </c>
      <c r="G83" s="96" t="s">
        <v>583</v>
      </c>
      <c r="H83" s="82"/>
      <c r="I83" s="82" t="s">
        <v>590</v>
      </c>
      <c r="J83" s="85">
        <v>45982</v>
      </c>
      <c r="K83" s="85">
        <v>45887</v>
      </c>
      <c r="L83" s="85">
        <v>45894</v>
      </c>
      <c r="M83" s="85">
        <v>45894</v>
      </c>
      <c r="N83" s="85">
        <v>45953</v>
      </c>
      <c r="O83" s="85"/>
      <c r="P83" s="82" t="s">
        <v>585</v>
      </c>
      <c r="Q83" s="82"/>
      <c r="R83" s="81"/>
      <c r="S83" s="81"/>
    </row>
    <row r="84" spans="1:19" ht="28.8" x14ac:dyDescent="0.3">
      <c r="A84" s="82" t="s">
        <v>591</v>
      </c>
      <c r="B84" s="83" t="s">
        <v>580</v>
      </c>
      <c r="C84" s="82" t="s">
        <v>339</v>
      </c>
      <c r="D84" s="97" t="s">
        <v>485</v>
      </c>
      <c r="E84" s="82" t="s">
        <v>581</v>
      </c>
      <c r="F84" s="84" t="s">
        <v>582</v>
      </c>
      <c r="G84" s="96" t="s">
        <v>583</v>
      </c>
      <c r="H84" s="82"/>
      <c r="I84" s="82"/>
      <c r="J84" s="85"/>
      <c r="K84" s="85"/>
      <c r="L84" s="85">
        <v>45894</v>
      </c>
      <c r="M84" s="85">
        <v>45894</v>
      </c>
      <c r="N84" s="85">
        <v>45953</v>
      </c>
      <c r="O84" s="85"/>
      <c r="P84" s="82"/>
      <c r="Q84" s="82"/>
      <c r="R84" s="81"/>
      <c r="S84" s="81"/>
    </row>
    <row r="85" spans="1:19" ht="28.8" x14ac:dyDescent="0.3">
      <c r="A85" s="82" t="s">
        <v>592</v>
      </c>
      <c r="B85" s="83"/>
      <c r="C85" s="82"/>
      <c r="D85" s="82" t="s">
        <v>485</v>
      </c>
      <c r="E85" s="82" t="s">
        <v>581</v>
      </c>
      <c r="F85" s="84" t="s">
        <v>582</v>
      </c>
      <c r="G85" s="96" t="s">
        <v>583</v>
      </c>
      <c r="H85" s="82"/>
      <c r="I85" s="82"/>
      <c r="J85" s="85"/>
      <c r="K85" s="85"/>
      <c r="L85" s="85">
        <v>45894</v>
      </c>
      <c r="M85" s="85">
        <v>45894</v>
      </c>
      <c r="N85" s="85">
        <v>45960</v>
      </c>
      <c r="O85" s="85"/>
      <c r="P85" s="82"/>
      <c r="Q85" s="82"/>
      <c r="R85" s="81"/>
      <c r="S85" s="81"/>
    </row>
    <row r="86" spans="1:19" ht="28.8" x14ac:dyDescent="0.3">
      <c r="A86" s="82" t="s">
        <v>593</v>
      </c>
      <c r="B86" s="83" t="s">
        <v>594</v>
      </c>
      <c r="C86" s="82" t="s">
        <v>339</v>
      </c>
      <c r="D86" s="82" t="s">
        <v>485</v>
      </c>
      <c r="E86" s="82" t="s">
        <v>595</v>
      </c>
      <c r="F86" s="84" t="s">
        <v>596</v>
      </c>
      <c r="G86" s="96" t="s">
        <v>597</v>
      </c>
      <c r="H86" s="82"/>
      <c r="I86" s="82" t="s">
        <v>494</v>
      </c>
      <c r="J86" s="85"/>
      <c r="K86" s="82"/>
      <c r="L86" s="82"/>
      <c r="M86" s="85" t="s">
        <v>494</v>
      </c>
      <c r="N86" s="97">
        <v>45981</v>
      </c>
      <c r="O86" s="85"/>
      <c r="P86" s="82"/>
      <c r="Q86" s="82"/>
      <c r="R86" s="81"/>
      <c r="S86" s="81"/>
    </row>
    <row r="87" spans="1:19" ht="29.4" thickBot="1" x14ac:dyDescent="0.35">
      <c r="A87" s="82" t="s">
        <v>598</v>
      </c>
      <c r="B87" s="83"/>
      <c r="C87" s="82" t="s">
        <v>339</v>
      </c>
      <c r="D87" s="82" t="s">
        <v>485</v>
      </c>
      <c r="E87" s="82" t="s">
        <v>595</v>
      </c>
      <c r="F87" s="84" t="s">
        <v>596</v>
      </c>
      <c r="G87" s="96" t="s">
        <v>597</v>
      </c>
      <c r="H87" s="82"/>
      <c r="I87" s="82" t="s">
        <v>599</v>
      </c>
      <c r="J87" s="85">
        <v>45981</v>
      </c>
      <c r="K87" s="82"/>
      <c r="L87" s="82"/>
      <c r="M87" s="85" t="s">
        <v>86</v>
      </c>
      <c r="N87" s="97">
        <v>45985</v>
      </c>
      <c r="O87" s="85"/>
      <c r="P87" s="82"/>
      <c r="Q87" s="82"/>
      <c r="R87" s="81"/>
      <c r="S87" s="81"/>
    </row>
    <row r="88" spans="1:19" ht="15" thickBot="1" x14ac:dyDescent="0.35">
      <c r="A88" s="103" t="s">
        <v>67</v>
      </c>
      <c r="B88" s="150"/>
      <c r="C88" s="151"/>
      <c r="D88" s="151"/>
      <c r="E88" s="151"/>
      <c r="F88" s="152"/>
      <c r="G88" s="153"/>
      <c r="H88" s="151"/>
      <c r="I88" s="151"/>
      <c r="J88" s="154"/>
      <c r="K88" s="151"/>
      <c r="L88" s="151"/>
      <c r="M88" s="154"/>
      <c r="N88" s="154"/>
      <c r="O88" s="154"/>
      <c r="P88" s="151"/>
      <c r="Q88" s="82"/>
      <c r="R88" s="81"/>
      <c r="S88" s="81"/>
    </row>
    <row r="89" spans="1:19" ht="28.8" x14ac:dyDescent="0.3">
      <c r="A89" s="82" t="s">
        <v>600</v>
      </c>
      <c r="B89" s="83" t="s">
        <v>601</v>
      </c>
      <c r="C89" s="82" t="s">
        <v>67</v>
      </c>
      <c r="D89" s="82" t="s">
        <v>433</v>
      </c>
      <c r="E89" s="82" t="s">
        <v>602</v>
      </c>
      <c r="F89" s="84" t="s">
        <v>603</v>
      </c>
      <c r="G89" s="96" t="s">
        <v>604</v>
      </c>
      <c r="H89" s="82"/>
      <c r="I89" s="82" t="s">
        <v>588</v>
      </c>
      <c r="J89" s="85">
        <v>45929</v>
      </c>
      <c r="K89" s="82"/>
      <c r="L89" s="82"/>
      <c r="M89" s="85"/>
      <c r="N89" s="82"/>
      <c r="O89" s="85" t="s">
        <v>605</v>
      </c>
      <c r="P89" s="82"/>
      <c r="Q89" s="82"/>
      <c r="R89" s="81"/>
      <c r="S89" s="81"/>
    </row>
    <row r="90" spans="1:19" ht="28.8" x14ac:dyDescent="0.3">
      <c r="A90" s="82" t="s">
        <v>606</v>
      </c>
      <c r="B90" s="83" t="s">
        <v>607</v>
      </c>
      <c r="C90" s="82" t="s">
        <v>67</v>
      </c>
      <c r="D90" s="82" t="s">
        <v>433</v>
      </c>
      <c r="E90" s="82" t="s">
        <v>602</v>
      </c>
      <c r="F90" s="84" t="s">
        <v>603</v>
      </c>
      <c r="G90" s="96" t="s">
        <v>604</v>
      </c>
      <c r="H90" s="82"/>
      <c r="I90" s="82" t="s">
        <v>588</v>
      </c>
      <c r="J90" s="85">
        <v>45966</v>
      </c>
      <c r="K90" s="82"/>
      <c r="L90" s="82"/>
      <c r="M90" s="85"/>
      <c r="N90" s="82"/>
      <c r="O90" s="85" t="s">
        <v>608</v>
      </c>
      <c r="P90" s="82"/>
      <c r="Q90" s="82"/>
      <c r="R90" s="81"/>
      <c r="S90" s="81"/>
    </row>
    <row r="91" spans="1:19" ht="28.8" x14ac:dyDescent="0.3">
      <c r="A91" s="82" t="s">
        <v>609</v>
      </c>
      <c r="B91" s="83" t="s">
        <v>610</v>
      </c>
      <c r="C91" s="82" t="s">
        <v>67</v>
      </c>
      <c r="D91" s="82" t="s">
        <v>433</v>
      </c>
      <c r="E91" s="82" t="s">
        <v>602</v>
      </c>
      <c r="F91" s="84" t="s">
        <v>603</v>
      </c>
      <c r="G91" s="96" t="s">
        <v>604</v>
      </c>
      <c r="H91" s="82"/>
      <c r="I91" s="82" t="s">
        <v>588</v>
      </c>
      <c r="J91" s="85">
        <v>45987</v>
      </c>
      <c r="K91" s="82"/>
      <c r="L91" s="82"/>
      <c r="M91" s="85"/>
      <c r="N91" s="82"/>
      <c r="O91" s="85" t="s">
        <v>608</v>
      </c>
      <c r="P91" s="82"/>
      <c r="Q91" s="82"/>
      <c r="R91" s="81"/>
      <c r="S91" s="81"/>
    </row>
    <row r="92" spans="1:19" ht="29.4" thickBot="1" x14ac:dyDescent="0.35">
      <c r="A92" s="82" t="s">
        <v>611</v>
      </c>
      <c r="B92" s="83" t="s">
        <v>610</v>
      </c>
      <c r="C92" s="82" t="s">
        <v>67</v>
      </c>
      <c r="D92" s="82" t="s">
        <v>433</v>
      </c>
      <c r="E92" s="82" t="s">
        <v>612</v>
      </c>
      <c r="F92" s="84" t="s">
        <v>603</v>
      </c>
      <c r="G92" s="96" t="s">
        <v>604</v>
      </c>
      <c r="H92" s="82"/>
      <c r="I92" s="82" t="s">
        <v>588</v>
      </c>
      <c r="J92" s="85">
        <v>45936</v>
      </c>
      <c r="K92" s="82"/>
      <c r="L92" s="82"/>
      <c r="M92" s="85"/>
      <c r="N92" s="82"/>
      <c r="O92" s="85" t="s">
        <v>608</v>
      </c>
      <c r="P92" s="82"/>
      <c r="Q92" s="82"/>
      <c r="R92" s="81"/>
      <c r="S92" s="81"/>
    </row>
    <row r="93" spans="1:19" ht="15" thickBot="1" x14ac:dyDescent="0.35">
      <c r="A93" s="155" t="s">
        <v>613</v>
      </c>
      <c r="B93" s="156"/>
      <c r="C93" s="157"/>
      <c r="D93" s="157"/>
      <c r="E93" s="157"/>
      <c r="F93" s="158"/>
      <c r="G93" s="157"/>
      <c r="H93" s="157"/>
      <c r="I93" s="157"/>
      <c r="J93" s="157"/>
      <c r="K93" s="157"/>
      <c r="L93" s="157"/>
      <c r="M93" s="157"/>
      <c r="N93" s="157"/>
      <c r="O93" s="157"/>
      <c r="P93" s="157"/>
      <c r="Q93" s="82"/>
      <c r="R93" s="81"/>
      <c r="S93" s="81"/>
    </row>
    <row r="94" spans="1:19" x14ac:dyDescent="0.3">
      <c r="A94" s="82"/>
      <c r="B94" s="83"/>
      <c r="C94" s="82"/>
      <c r="D94" s="82"/>
      <c r="E94" s="82"/>
      <c r="F94" s="84"/>
      <c r="G94" s="82"/>
      <c r="H94" s="82"/>
      <c r="I94" s="82"/>
      <c r="J94" s="82"/>
      <c r="K94" s="82"/>
      <c r="L94" s="82"/>
      <c r="M94" s="82"/>
      <c r="N94" s="82"/>
      <c r="O94" s="82"/>
      <c r="P94" s="82"/>
      <c r="Q94" s="82"/>
      <c r="R94" s="81"/>
      <c r="S94" s="81"/>
    </row>
    <row r="95" spans="1:19" x14ac:dyDescent="0.3">
      <c r="A95" s="82" t="s">
        <v>484</v>
      </c>
      <c r="B95" s="83"/>
      <c r="C95" s="82" t="s">
        <v>614</v>
      </c>
      <c r="D95" s="82"/>
      <c r="E95" s="82"/>
      <c r="F95" s="84"/>
      <c r="G95" s="82"/>
      <c r="H95" s="82"/>
      <c r="I95" s="82"/>
      <c r="J95" s="85">
        <v>45876</v>
      </c>
      <c r="K95" s="82"/>
      <c r="L95" s="82"/>
      <c r="M95" s="82"/>
      <c r="N95" s="82"/>
      <c r="O95" s="82"/>
      <c r="P95" s="82"/>
      <c r="Q95" s="82"/>
      <c r="R95" s="81"/>
      <c r="S95" s="81"/>
    </row>
    <row r="96" spans="1:19" x14ac:dyDescent="0.3">
      <c r="A96" s="82"/>
      <c r="B96" s="83" t="s">
        <v>615</v>
      </c>
      <c r="C96" s="82" t="s">
        <v>614</v>
      </c>
      <c r="D96" s="82"/>
      <c r="E96" s="82"/>
      <c r="F96" s="84"/>
      <c r="G96" s="82"/>
      <c r="H96" s="82"/>
      <c r="I96" s="82"/>
      <c r="J96" s="85">
        <v>45925</v>
      </c>
      <c r="K96" s="82"/>
      <c r="L96" s="82"/>
      <c r="M96" s="82"/>
      <c r="N96" s="82"/>
      <c r="O96" s="82"/>
      <c r="P96" s="82"/>
      <c r="Q96" s="82"/>
      <c r="R96" s="81"/>
      <c r="S96" s="81"/>
    </row>
    <row r="97" spans="1:19" x14ac:dyDescent="0.3">
      <c r="A97" s="82"/>
      <c r="B97" s="83" t="s">
        <v>610</v>
      </c>
      <c r="C97" s="82" t="s">
        <v>614</v>
      </c>
      <c r="D97" s="82"/>
      <c r="E97" s="82"/>
      <c r="F97" s="84"/>
      <c r="G97" s="82"/>
      <c r="H97" s="82"/>
      <c r="I97" s="82"/>
      <c r="J97" s="85">
        <v>45951</v>
      </c>
      <c r="K97" s="82"/>
      <c r="L97" s="82"/>
      <c r="M97" s="82"/>
      <c r="N97" s="82"/>
      <c r="O97" s="82"/>
      <c r="P97" s="82"/>
      <c r="Q97" s="82"/>
      <c r="R97" s="81"/>
      <c r="S97" s="81"/>
    </row>
    <row r="98" spans="1:19" x14ac:dyDescent="0.3">
      <c r="A98" s="82"/>
      <c r="B98" s="83" t="s">
        <v>610</v>
      </c>
      <c r="C98" s="82" t="s">
        <v>614</v>
      </c>
      <c r="D98" s="82"/>
      <c r="E98" s="82"/>
      <c r="F98" s="84"/>
      <c r="G98" s="82"/>
      <c r="H98" s="82"/>
      <c r="I98" s="82"/>
      <c r="J98" s="85">
        <v>45979</v>
      </c>
      <c r="K98" s="82"/>
      <c r="L98" s="82"/>
      <c r="M98" s="82"/>
      <c r="N98" s="82"/>
      <c r="O98" s="82"/>
      <c r="P98" s="82"/>
      <c r="Q98" s="82"/>
      <c r="R98" s="81"/>
      <c r="S98" s="81"/>
    </row>
    <row r="99" spans="1:19" ht="28.8" x14ac:dyDescent="0.3">
      <c r="A99" s="82" t="s">
        <v>616</v>
      </c>
      <c r="B99" s="83" t="s">
        <v>617</v>
      </c>
      <c r="C99" s="82" t="s">
        <v>614</v>
      </c>
      <c r="D99" s="82"/>
      <c r="E99" s="82"/>
      <c r="F99" s="84"/>
      <c r="G99" s="82"/>
      <c r="H99" s="82"/>
      <c r="I99" s="82"/>
      <c r="J99" s="82" t="s">
        <v>618</v>
      </c>
      <c r="K99" s="85"/>
      <c r="L99" s="82"/>
      <c r="M99" s="82"/>
      <c r="N99" s="82"/>
      <c r="O99" s="82"/>
      <c r="P99" s="82"/>
      <c r="Q99" s="82"/>
      <c r="R99" s="81"/>
      <c r="S99" s="81"/>
    </row>
    <row r="100" spans="1:19" x14ac:dyDescent="0.3">
      <c r="A100" s="82"/>
      <c r="B100" s="83"/>
      <c r="C100" s="82"/>
      <c r="D100" s="82"/>
      <c r="E100" s="82"/>
      <c r="F100" s="84"/>
      <c r="G100" s="82"/>
      <c r="H100" s="82"/>
      <c r="I100" s="82"/>
      <c r="J100" s="82"/>
      <c r="K100" s="82"/>
      <c r="L100" s="82"/>
      <c r="M100" s="82"/>
      <c r="N100" s="82"/>
      <c r="O100" s="82"/>
      <c r="P100" s="82"/>
      <c r="Q100" s="82"/>
      <c r="R100" s="81"/>
      <c r="S100" s="81"/>
    </row>
    <row r="101" spans="1:19" x14ac:dyDescent="0.3">
      <c r="A101" s="82" t="s">
        <v>619</v>
      </c>
      <c r="B101" s="83" t="s">
        <v>620</v>
      </c>
      <c r="C101" s="82" t="s">
        <v>614</v>
      </c>
      <c r="D101" s="82"/>
      <c r="E101" s="82"/>
      <c r="F101" s="84"/>
      <c r="G101" s="82"/>
      <c r="H101" s="82"/>
      <c r="I101" s="82"/>
      <c r="J101" s="82"/>
      <c r="K101" s="82"/>
      <c r="L101" s="82"/>
      <c r="M101" s="82"/>
      <c r="N101" s="82"/>
      <c r="O101" s="82"/>
      <c r="P101" s="82"/>
      <c r="Q101" s="82"/>
      <c r="R101" s="81"/>
      <c r="S101" s="81"/>
    </row>
    <row r="102" spans="1:19" x14ac:dyDescent="0.3">
      <c r="A102" s="82" t="s">
        <v>621</v>
      </c>
      <c r="B102" s="83" t="s">
        <v>622</v>
      </c>
      <c r="C102" s="82" t="s">
        <v>614</v>
      </c>
      <c r="D102" s="82"/>
      <c r="E102" s="82"/>
      <c r="F102" s="84"/>
      <c r="G102" s="82"/>
      <c r="H102" s="82"/>
      <c r="I102" s="82"/>
      <c r="J102" s="82"/>
      <c r="K102" s="82"/>
      <c r="L102" s="82"/>
      <c r="M102" s="82"/>
      <c r="N102" s="82"/>
      <c r="O102" s="82"/>
      <c r="P102" s="82"/>
      <c r="Q102" s="82"/>
      <c r="R102" s="81"/>
      <c r="S102" s="81"/>
    </row>
    <row r="103" spans="1:19" x14ac:dyDescent="0.3">
      <c r="A103" s="82" t="s">
        <v>623</v>
      </c>
      <c r="B103" s="83" t="s">
        <v>624</v>
      </c>
      <c r="C103" s="82" t="s">
        <v>614</v>
      </c>
      <c r="D103" s="82"/>
      <c r="E103" s="82"/>
      <c r="F103" s="84"/>
      <c r="G103" s="82"/>
      <c r="H103" s="82"/>
      <c r="I103" s="82"/>
      <c r="J103" s="82"/>
      <c r="K103" s="82"/>
      <c r="L103" s="82"/>
      <c r="M103" s="82"/>
      <c r="N103" s="82"/>
      <c r="O103" s="82"/>
      <c r="P103" s="82"/>
      <c r="Q103" s="82"/>
      <c r="R103" s="81"/>
      <c r="S103" s="81"/>
    </row>
    <row r="104" spans="1:19" x14ac:dyDescent="0.3">
      <c r="A104" s="82" t="s">
        <v>625</v>
      </c>
      <c r="B104" s="83" t="s">
        <v>626</v>
      </c>
      <c r="C104" s="82" t="s">
        <v>614</v>
      </c>
      <c r="D104" s="82"/>
      <c r="E104" s="82"/>
      <c r="F104" s="84"/>
      <c r="G104" s="82"/>
      <c r="H104" s="82"/>
      <c r="I104" s="82"/>
      <c r="J104" s="82"/>
      <c r="K104" s="82"/>
      <c r="L104" s="82"/>
      <c r="M104" s="82"/>
      <c r="N104" s="82"/>
      <c r="O104" s="82"/>
      <c r="P104" s="82"/>
      <c r="Q104" s="82"/>
      <c r="R104" s="81"/>
      <c r="S104" s="81"/>
    </row>
    <row r="105" spans="1:19" ht="28.8" x14ac:dyDescent="0.3">
      <c r="A105" s="82" t="s">
        <v>627</v>
      </c>
      <c r="B105" s="83" t="s">
        <v>628</v>
      </c>
      <c r="C105" s="82" t="s">
        <v>629</v>
      </c>
      <c r="D105" s="82" t="s">
        <v>630</v>
      </c>
      <c r="E105" s="82" t="s">
        <v>631</v>
      </c>
      <c r="F105" s="84" t="s">
        <v>537</v>
      </c>
      <c r="G105" s="96" t="s">
        <v>538</v>
      </c>
      <c r="H105" s="82">
        <v>1</v>
      </c>
      <c r="I105" s="82">
        <v>7</v>
      </c>
      <c r="J105" s="85">
        <v>45909</v>
      </c>
      <c r="K105" s="85">
        <v>45828</v>
      </c>
      <c r="L105" s="85">
        <v>45828</v>
      </c>
      <c r="M105" s="82"/>
      <c r="N105" s="82" t="s">
        <v>632</v>
      </c>
      <c r="O105" s="82"/>
      <c r="P105" s="82"/>
      <c r="Q105" s="82"/>
      <c r="R105" s="81"/>
      <c r="S105" s="81"/>
    </row>
    <row r="106" spans="1:19" ht="28.8" x14ac:dyDescent="0.3">
      <c r="A106" s="82" t="s">
        <v>633</v>
      </c>
      <c r="B106" s="83"/>
      <c r="C106" s="82" t="s">
        <v>614</v>
      </c>
      <c r="D106" s="82" t="s">
        <v>634</v>
      </c>
      <c r="E106" s="82" t="s">
        <v>635</v>
      </c>
      <c r="F106" s="84" t="s">
        <v>636</v>
      </c>
      <c r="G106" s="82"/>
      <c r="H106" s="82">
        <v>8</v>
      </c>
      <c r="I106" s="82"/>
      <c r="J106" s="85">
        <v>45929</v>
      </c>
      <c r="K106" s="82"/>
      <c r="L106" s="82"/>
      <c r="M106" s="82"/>
      <c r="N106" s="82" t="s">
        <v>637</v>
      </c>
      <c r="O106" s="82"/>
      <c r="P106" s="82"/>
      <c r="Q106" s="82"/>
      <c r="R106" s="81"/>
      <c r="S106" s="81"/>
    </row>
    <row r="107" spans="1:19" ht="15" thickBot="1" x14ac:dyDescent="0.35">
      <c r="A107" s="82"/>
      <c r="B107" s="83"/>
      <c r="C107" s="82"/>
      <c r="D107" s="82"/>
      <c r="E107" s="82"/>
      <c r="F107" s="84"/>
      <c r="G107" s="82"/>
      <c r="H107" s="82"/>
      <c r="I107" s="82"/>
      <c r="J107" s="82"/>
      <c r="K107" s="82"/>
      <c r="L107" s="82"/>
      <c r="M107" s="82"/>
      <c r="N107" s="82"/>
      <c r="O107" s="82"/>
      <c r="P107" s="82"/>
      <c r="Q107" s="82"/>
      <c r="R107" s="81"/>
      <c r="S107" s="81"/>
    </row>
    <row r="108" spans="1:19" x14ac:dyDescent="0.3">
      <c r="A108" s="159" t="s">
        <v>638</v>
      </c>
      <c r="B108" s="83"/>
      <c r="C108" s="82"/>
      <c r="D108" s="82"/>
      <c r="E108" s="82"/>
      <c r="F108" s="84"/>
      <c r="G108" s="82"/>
      <c r="H108" s="82"/>
      <c r="I108" s="82"/>
      <c r="J108" s="82"/>
      <c r="K108" s="82"/>
      <c r="L108" s="82"/>
      <c r="M108" s="82"/>
      <c r="N108" s="82"/>
      <c r="O108" s="82"/>
      <c r="P108" s="82"/>
      <c r="Q108" s="82"/>
      <c r="R108" s="81"/>
      <c r="S108" s="81"/>
    </row>
    <row r="109" spans="1:19" x14ac:dyDescent="0.3">
      <c r="A109" s="160" t="s">
        <v>639</v>
      </c>
      <c r="B109" s="83"/>
      <c r="C109" s="82"/>
      <c r="D109" s="82"/>
      <c r="E109" s="82"/>
      <c r="F109" s="84"/>
      <c r="G109" s="82"/>
      <c r="H109" s="82"/>
      <c r="I109" s="82"/>
      <c r="J109" s="82"/>
      <c r="K109" s="82"/>
      <c r="L109" s="82"/>
      <c r="M109" s="82"/>
      <c r="N109" s="82"/>
      <c r="O109" s="82"/>
      <c r="P109" s="82"/>
      <c r="Q109" s="82"/>
      <c r="R109" s="81"/>
      <c r="S109" s="81"/>
    </row>
    <row r="110" spans="1:19" x14ac:dyDescent="0.3">
      <c r="A110" s="160" t="s">
        <v>640</v>
      </c>
      <c r="B110" s="83"/>
      <c r="C110" s="82"/>
      <c r="D110" s="82"/>
      <c r="E110" s="82"/>
      <c r="F110" s="84"/>
      <c r="G110" s="82"/>
      <c r="H110" s="82"/>
      <c r="I110" s="82"/>
      <c r="J110" s="82"/>
      <c r="K110" s="82"/>
      <c r="L110" s="82"/>
      <c r="M110" s="82"/>
      <c r="N110" s="82"/>
      <c r="O110" s="82"/>
      <c r="P110" s="82"/>
      <c r="Q110" s="82"/>
      <c r="R110" s="81"/>
      <c r="S110" s="81"/>
    </row>
    <row r="111" spans="1:19" ht="29.4" thickBot="1" x14ac:dyDescent="0.35">
      <c r="A111" s="161" t="s">
        <v>641</v>
      </c>
      <c r="B111" s="83"/>
      <c r="C111" s="82"/>
      <c r="D111" s="82"/>
      <c r="E111" s="82"/>
      <c r="F111" s="84"/>
      <c r="G111" s="82"/>
      <c r="H111" s="82"/>
      <c r="I111" s="82"/>
      <c r="J111" s="82"/>
      <c r="K111" s="82"/>
      <c r="L111" s="82"/>
      <c r="M111" s="82"/>
      <c r="N111" s="82"/>
      <c r="O111" s="82"/>
      <c r="P111" s="82"/>
      <c r="Q111" s="82"/>
      <c r="R111" s="81"/>
      <c r="S111" s="81"/>
    </row>
    <row r="112" spans="1:19" x14ac:dyDescent="0.3">
      <c r="A112" s="82"/>
      <c r="B112" s="83"/>
      <c r="C112" s="82"/>
      <c r="D112" s="82"/>
      <c r="E112" s="82"/>
      <c r="F112" s="84"/>
      <c r="G112" s="82"/>
      <c r="H112" s="82"/>
      <c r="I112" s="82"/>
      <c r="J112" s="82"/>
      <c r="K112" s="82"/>
      <c r="L112" s="82"/>
      <c r="M112" s="82"/>
      <c r="N112" s="82"/>
      <c r="O112" s="82"/>
      <c r="P112" s="82"/>
      <c r="Q112" s="82"/>
      <c r="R112" s="81"/>
      <c r="S112" s="81"/>
    </row>
    <row r="113" spans="1:19" x14ac:dyDescent="0.3">
      <c r="A113" s="82"/>
      <c r="B113" s="83"/>
      <c r="C113" s="82"/>
      <c r="D113" s="82"/>
      <c r="E113" s="82"/>
      <c r="F113" s="84"/>
      <c r="G113" s="82"/>
      <c r="H113" s="82"/>
      <c r="I113" s="82"/>
      <c r="J113" s="82"/>
      <c r="K113" s="82"/>
      <c r="L113" s="82"/>
      <c r="M113" s="82"/>
      <c r="N113" s="82"/>
      <c r="O113" s="82"/>
      <c r="P113" s="82"/>
      <c r="Q113" s="82"/>
      <c r="R113" s="81"/>
      <c r="S113" s="81"/>
    </row>
    <row r="114" spans="1:19" x14ac:dyDescent="0.3">
      <c r="A114" s="82"/>
      <c r="B114" s="83"/>
      <c r="C114" s="82"/>
      <c r="D114" s="82"/>
      <c r="E114" s="82"/>
      <c r="F114" s="84"/>
      <c r="G114" s="82"/>
      <c r="H114" s="82"/>
      <c r="I114" s="82"/>
      <c r="J114" s="82"/>
      <c r="K114" s="82"/>
      <c r="L114" s="82"/>
      <c r="M114" s="82"/>
      <c r="N114" s="82"/>
      <c r="O114" s="82"/>
      <c r="P114" s="82"/>
      <c r="Q114" s="82"/>
      <c r="R114" s="81"/>
      <c r="S114" s="81"/>
    </row>
    <row r="115" spans="1:19" x14ac:dyDescent="0.3">
      <c r="A115" s="82"/>
      <c r="B115" s="83"/>
      <c r="C115" s="82"/>
      <c r="D115" s="82"/>
      <c r="E115" s="82"/>
      <c r="F115" s="84"/>
      <c r="G115" s="82"/>
      <c r="H115" s="82"/>
      <c r="I115" s="82"/>
      <c r="J115" s="82"/>
      <c r="K115" s="82"/>
      <c r="L115" s="82"/>
      <c r="M115" s="82"/>
      <c r="N115" s="82"/>
      <c r="O115" s="82"/>
      <c r="P115" s="82"/>
      <c r="Q115" s="82"/>
      <c r="R115" s="81"/>
      <c r="S115" s="81"/>
    </row>
    <row r="116" spans="1:19" x14ac:dyDescent="0.3">
      <c r="A116" s="82"/>
      <c r="B116" s="83"/>
      <c r="C116" s="82"/>
      <c r="D116" s="82"/>
      <c r="E116" s="82"/>
      <c r="F116" s="84"/>
      <c r="G116" s="82"/>
      <c r="H116" s="82"/>
      <c r="I116" s="82"/>
      <c r="J116" s="82"/>
      <c r="K116" s="82"/>
      <c r="L116" s="82"/>
      <c r="M116" s="82"/>
      <c r="N116" s="82"/>
      <c r="O116" s="82"/>
      <c r="P116" s="82"/>
      <c r="Q116" s="82"/>
      <c r="R116" s="81"/>
      <c r="S116" s="81"/>
    </row>
    <row r="117" spans="1:19" x14ac:dyDescent="0.3">
      <c r="A117" s="82"/>
      <c r="B117" s="83"/>
      <c r="C117" s="82"/>
      <c r="D117" s="82"/>
      <c r="E117" s="82"/>
      <c r="F117" s="84"/>
      <c r="G117" s="82"/>
      <c r="H117" s="82"/>
      <c r="I117" s="82"/>
      <c r="J117" s="82"/>
      <c r="K117" s="82"/>
      <c r="L117" s="82"/>
      <c r="M117" s="82"/>
      <c r="N117" s="82"/>
      <c r="O117" s="82"/>
      <c r="P117" s="82"/>
      <c r="Q117" s="82"/>
      <c r="R117" s="81"/>
      <c r="S117" s="81"/>
    </row>
    <row r="118" spans="1:19" x14ac:dyDescent="0.3">
      <c r="A118" s="82"/>
      <c r="B118" s="83"/>
      <c r="C118" s="82"/>
      <c r="D118" s="82"/>
      <c r="E118" s="82"/>
      <c r="F118" s="84"/>
      <c r="G118" s="82"/>
      <c r="H118" s="82"/>
      <c r="I118" s="82"/>
      <c r="J118" s="82"/>
      <c r="K118" s="82"/>
      <c r="L118" s="82"/>
      <c r="M118" s="82"/>
      <c r="N118" s="82"/>
      <c r="O118" s="82"/>
      <c r="P118" s="82"/>
      <c r="Q118" s="82"/>
      <c r="R118" s="81"/>
      <c r="S118" s="81"/>
    </row>
    <row r="119" spans="1:19" x14ac:dyDescent="0.3">
      <c r="A119" s="82"/>
      <c r="B119" s="83"/>
      <c r="C119" s="82"/>
      <c r="D119" s="82"/>
      <c r="E119" s="82"/>
      <c r="F119" s="84"/>
      <c r="G119" s="82"/>
      <c r="H119" s="82"/>
      <c r="I119" s="82"/>
      <c r="J119" s="82"/>
      <c r="K119" s="82"/>
      <c r="L119" s="82"/>
      <c r="M119" s="82"/>
      <c r="N119" s="82"/>
      <c r="O119" s="82"/>
      <c r="P119" s="82"/>
      <c r="Q119" s="82"/>
      <c r="R119" s="81"/>
      <c r="S119" s="81"/>
    </row>
    <row r="120" spans="1:19" x14ac:dyDescent="0.3">
      <c r="A120" s="82"/>
      <c r="B120" s="83"/>
      <c r="C120" s="82"/>
      <c r="D120" s="82"/>
      <c r="E120" s="82"/>
      <c r="F120" s="84"/>
      <c r="G120" s="82"/>
      <c r="H120" s="82"/>
      <c r="I120" s="82"/>
      <c r="J120" s="82"/>
      <c r="K120" s="82"/>
      <c r="L120" s="82"/>
      <c r="M120" s="82"/>
      <c r="N120" s="82"/>
      <c r="O120" s="82"/>
      <c r="P120" s="82"/>
      <c r="Q120" s="82"/>
      <c r="R120" s="81"/>
      <c r="S120" s="81"/>
    </row>
    <row r="121" spans="1:19" x14ac:dyDescent="0.3">
      <c r="A121" s="82"/>
      <c r="B121" s="83"/>
      <c r="C121" s="82"/>
      <c r="D121" s="82"/>
      <c r="E121" s="82"/>
      <c r="F121" s="84"/>
      <c r="G121" s="82"/>
      <c r="H121" s="82"/>
      <c r="I121" s="82"/>
      <c r="J121" s="82"/>
      <c r="K121" s="82"/>
      <c r="L121" s="82"/>
      <c r="M121" s="82"/>
      <c r="N121" s="82"/>
      <c r="O121" s="82"/>
      <c r="P121" s="82"/>
      <c r="Q121" s="82"/>
      <c r="R121" s="81"/>
      <c r="S121" s="81"/>
    </row>
    <row r="122" spans="1:19" x14ac:dyDescent="0.3">
      <c r="A122" s="81"/>
      <c r="B122" s="81"/>
      <c r="C122" s="81"/>
      <c r="D122" s="81"/>
      <c r="E122" s="81"/>
      <c r="F122" s="81"/>
      <c r="G122" s="81"/>
      <c r="H122" s="81"/>
      <c r="I122" s="81"/>
      <c r="J122" s="81"/>
      <c r="K122" s="81"/>
      <c r="L122" s="81"/>
      <c r="M122" s="81"/>
      <c r="N122" s="82"/>
      <c r="O122" s="81"/>
      <c r="P122" s="81"/>
      <c r="Q122" s="82"/>
      <c r="R122" s="81"/>
      <c r="S122" s="81"/>
    </row>
    <row r="123" spans="1:19" x14ac:dyDescent="0.3">
      <c r="A123" s="81"/>
      <c r="B123" s="81"/>
      <c r="C123" s="81"/>
      <c r="D123" s="81"/>
      <c r="E123" s="81"/>
      <c r="F123" s="81"/>
      <c r="G123" s="81"/>
      <c r="H123" s="81"/>
      <c r="I123" s="81"/>
      <c r="J123" s="81"/>
      <c r="K123" s="81"/>
      <c r="L123" s="81"/>
      <c r="M123" s="81"/>
      <c r="N123" s="82"/>
      <c r="O123" s="81"/>
      <c r="P123" s="81"/>
      <c r="Q123" s="82"/>
      <c r="R123" s="81"/>
      <c r="S123" s="81"/>
    </row>
    <row r="124" spans="1:19" x14ac:dyDescent="0.3">
      <c r="A124" s="81"/>
      <c r="B124" s="81"/>
      <c r="C124" s="81"/>
      <c r="D124" s="81"/>
      <c r="E124" s="81"/>
      <c r="F124" s="81"/>
      <c r="G124" s="81"/>
      <c r="H124" s="81"/>
      <c r="I124" s="81"/>
      <c r="J124" s="81"/>
      <c r="K124" s="81"/>
      <c r="L124" s="81"/>
      <c r="M124" s="81"/>
      <c r="N124" s="82"/>
      <c r="O124" s="81"/>
      <c r="P124" s="81"/>
      <c r="Q124" s="82"/>
      <c r="R124" s="81"/>
      <c r="S124" s="81"/>
    </row>
    <row r="125" spans="1:19" x14ac:dyDescent="0.3">
      <c r="A125" s="81"/>
      <c r="B125" s="81"/>
      <c r="C125" s="81"/>
      <c r="D125" s="81"/>
      <c r="E125" s="81"/>
      <c r="F125" s="81"/>
      <c r="G125" s="81"/>
      <c r="H125" s="81"/>
      <c r="I125" s="81"/>
      <c r="J125" s="81"/>
      <c r="K125" s="81"/>
      <c r="L125" s="81"/>
      <c r="M125" s="81"/>
      <c r="N125" s="82"/>
      <c r="O125" s="81"/>
      <c r="P125" s="81"/>
      <c r="Q125" s="82"/>
      <c r="R125" s="81"/>
      <c r="S125" s="81"/>
    </row>
    <row r="126" spans="1:19" x14ac:dyDescent="0.3">
      <c r="A126" s="81"/>
      <c r="B126" s="81"/>
      <c r="C126" s="81"/>
      <c r="D126" s="81"/>
      <c r="E126" s="81"/>
      <c r="F126" s="81"/>
      <c r="G126" s="81"/>
      <c r="H126" s="81"/>
      <c r="I126" s="81"/>
      <c r="J126" s="81"/>
      <c r="K126" s="81"/>
      <c r="L126" s="81"/>
      <c r="M126" s="81"/>
      <c r="N126" s="82"/>
      <c r="O126" s="81"/>
      <c r="P126" s="81"/>
      <c r="Q126" s="82"/>
      <c r="R126" s="81"/>
      <c r="S126" s="81"/>
    </row>
    <row r="127" spans="1:19" x14ac:dyDescent="0.3">
      <c r="A127" s="81"/>
      <c r="B127" s="81"/>
      <c r="C127" s="81"/>
      <c r="D127" s="81"/>
      <c r="E127" s="81"/>
      <c r="F127" s="81"/>
      <c r="G127" s="81"/>
      <c r="H127" s="81"/>
      <c r="I127" s="81"/>
      <c r="J127" s="81"/>
      <c r="K127" s="81"/>
      <c r="L127" s="81"/>
      <c r="M127" s="81"/>
      <c r="N127" s="82"/>
      <c r="O127" s="81"/>
      <c r="P127" s="81"/>
      <c r="Q127" s="82"/>
      <c r="R127" s="81"/>
      <c r="S127" s="81"/>
    </row>
    <row r="128" spans="1:19" x14ac:dyDescent="0.3">
      <c r="A128" s="81"/>
      <c r="B128" s="81"/>
      <c r="C128" s="81"/>
      <c r="D128" s="81"/>
      <c r="E128" s="81"/>
      <c r="F128" s="81"/>
      <c r="G128" s="81"/>
      <c r="H128" s="81"/>
      <c r="I128" s="81"/>
      <c r="J128" s="81"/>
      <c r="K128" s="81"/>
      <c r="L128" s="81"/>
      <c r="M128" s="81"/>
      <c r="N128" s="82"/>
      <c r="O128" s="81"/>
      <c r="P128" s="81"/>
      <c r="Q128" s="82"/>
      <c r="R128" s="81"/>
      <c r="S128" s="81"/>
    </row>
    <row r="129" spans="1:19" x14ac:dyDescent="0.3">
      <c r="A129" s="81"/>
      <c r="B129" s="81"/>
      <c r="C129" s="81"/>
      <c r="D129" s="81"/>
      <c r="E129" s="81"/>
      <c r="F129" s="81"/>
      <c r="G129" s="81"/>
      <c r="H129" s="81"/>
      <c r="I129" s="81"/>
      <c r="J129" s="81"/>
      <c r="K129" s="81"/>
      <c r="L129" s="81"/>
      <c r="M129" s="81"/>
      <c r="N129" s="82"/>
      <c r="O129" s="81"/>
      <c r="P129" s="81"/>
      <c r="Q129" s="82"/>
      <c r="R129" s="81"/>
      <c r="S129" s="81"/>
    </row>
  </sheetData>
  <mergeCells count="2">
    <mergeCell ref="D1:G1"/>
    <mergeCell ref="D2:G2"/>
  </mergeCells>
  <conditionalFormatting sqref="A93 C95:C99">
    <cfRule type="cellIs" dxfId="9" priority="7" operator="equal">
      <formula>"Unkown"</formula>
    </cfRule>
  </conditionalFormatting>
  <conditionalFormatting sqref="C1:C6 C8:C21 C25:C26 C29:C35 C72:C75 C101:C106">
    <cfRule type="cellIs" dxfId="8" priority="10" operator="equal">
      <formula>"Unkown"</formula>
    </cfRule>
  </conditionalFormatting>
  <conditionalFormatting sqref="C37:C38 C43:C44 C46:C49 C51 C54:C55 C58:C59 A64">
    <cfRule type="cellIs" dxfId="7" priority="9" operator="equal">
      <formula>"Unkown"</formula>
    </cfRule>
  </conditionalFormatting>
  <conditionalFormatting sqref="C62:C65">
    <cfRule type="cellIs" dxfId="6" priority="8" operator="equal">
      <formula>"Unkown"</formula>
    </cfRule>
  </conditionalFormatting>
  <conditionalFormatting sqref="I16">
    <cfRule type="expression" dxfId="5" priority="4">
      <formula>AND(#REF!&lt;&gt;"", #REF!&lt;=TODAY()+14)</formula>
    </cfRule>
  </conditionalFormatting>
  <conditionalFormatting sqref="J8:J21 J25:J27 J29:J75 J77:J129">
    <cfRule type="expression" dxfId="4" priority="3">
      <formula>AND(J8&lt;&gt;"", J8&lt;=TODAY()+14)</formula>
    </cfRule>
    <cfRule type="expression" dxfId="3" priority="5">
      <formula>AND(J8&gt;TODAY()+14,J8&lt;TODAY()+60)</formula>
    </cfRule>
    <cfRule type="expression" dxfId="2" priority="6">
      <formula>J8&gt;=TODAY()+60</formula>
    </cfRule>
  </conditionalFormatting>
  <conditionalFormatting sqref="O8:O21 O25:O27 O29:O75 O77:O129">
    <cfRule type="expression" dxfId="1" priority="1">
      <formula>AND(O8&lt;&gt;"", O8&gt;J8)</formula>
    </cfRule>
    <cfRule type="expression" dxfId="0" priority="2">
      <formula>AND(O8&lt;&gt;"", O8&lt;=J8)</formula>
    </cfRule>
  </conditionalFormatting>
  <hyperlinks>
    <hyperlink ref="G46" r:id="rId1" xr:uid="{EA2DFD2E-F808-4105-9C0A-91F523386AA5}"/>
    <hyperlink ref="G47" r:id="rId2" xr:uid="{9C2EDCF6-3209-4EFA-91ED-8FD5A8F4BD3D}"/>
    <hyperlink ref="G54" r:id="rId3" xr:uid="{99523CCE-2406-4704-905A-7F60AF9A5EF8}"/>
    <hyperlink ref="G65" r:id="rId4" xr:uid="{14AC3204-A209-48F5-BCF3-569D41EA920C}"/>
    <hyperlink ref="G39" r:id="rId5" xr:uid="{04B4E232-0428-4F1C-A550-83CAD8270558}"/>
    <hyperlink ref="G44" r:id="rId6" xr:uid="{F77669D7-CB99-4DCE-A2B2-1D487E7B4B56}"/>
    <hyperlink ref="G74" r:id="rId7" xr:uid="{639D81C0-5C6A-4004-B6B3-20DAD8F1398B}"/>
    <hyperlink ref="G68" r:id="rId8" xr:uid="{4AC3553C-B116-4C66-96FD-0F147F9D5A5D}"/>
    <hyperlink ref="G69" r:id="rId9" xr:uid="{1EC288C5-CB06-4988-BFDC-DF4C7F38AE7C}"/>
    <hyperlink ref="G29:G34" r:id="rId10" display="jrchristoff@yahoo.com" xr:uid="{F4A4DED9-F9F7-43E0-B013-465C01BC6678}"/>
    <hyperlink ref="G30" r:id="rId11" xr:uid="{591D8DF2-4175-496B-9BE6-C5BEDB278BAC}"/>
    <hyperlink ref="G105" r:id="rId12" xr:uid="{E5780F60-AA37-4E0C-B1DF-F687C3B13C76}"/>
    <hyperlink ref="G86" r:id="rId13" xr:uid="{9E508529-C5CC-47A8-B905-E9AE5F5C4A83}"/>
    <hyperlink ref="G89" r:id="rId14" xr:uid="{6D91C414-58B9-46EE-9CC4-482DA5D7CD6E}"/>
    <hyperlink ref="G90" r:id="rId15" xr:uid="{34D4DB56-DAF7-4621-B9C6-EF03B9BFD403}"/>
    <hyperlink ref="G92" r:id="rId16" xr:uid="{43F7677B-C5DF-4FDD-869F-1219F7256C58}"/>
    <hyperlink ref="G91" r:id="rId17" xr:uid="{FCCB5923-1F4B-4729-8A93-2327ECA75BFC}"/>
    <hyperlink ref="G40" r:id="rId18" xr:uid="{C5376D62-47A5-4850-B262-3E3C3DB3C2E0}"/>
    <hyperlink ref="G35" r:id="rId19" xr:uid="{491D3FBE-95B4-441C-8D3A-3D4A25A55A37}"/>
    <hyperlink ref="G66" r:id="rId20" xr:uid="{9DB47DD3-9A91-42B3-8850-64DE7895BF09}"/>
    <hyperlink ref="G59" r:id="rId21" xr:uid="{7F825929-FE73-43BF-8C06-402F00A87AFC}"/>
    <hyperlink ref="G87" r:id="rId22" xr:uid="{9E43B76A-380A-4876-BDA7-02BCA267391E}"/>
    <hyperlink ref="G85" r:id="rId23" xr:uid="{C6D4FD9E-AB23-4E48-9BF4-C13A9986346E}"/>
    <hyperlink ref="G84" r:id="rId24" xr:uid="{4A7ECF7D-2B51-47A4-9D33-80F58D486FB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Door, Frame, HDWR delivery</vt:lpstr>
      <vt:lpstr>Sheet2</vt:lpstr>
      <vt:lpstr>Sheet3</vt:lpstr>
      <vt:lpstr>DGI 10.28.25 Pricing Update</vt:lpstr>
      <vt:lpstr>Sheet1</vt:lpstr>
      <vt:lpstr>Owner Provided Items</vt:lpstr>
      <vt:lpstr>Utility Tracker</vt:lpstr>
      <vt:lpstr>Change Order Status</vt:lpstr>
      <vt:lpstr>Budget Modifications</vt:lpstr>
      <vt:lpstr>Procurement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Cannon</dc:creator>
  <cp:keywords/>
  <dc:description/>
  <cp:lastModifiedBy>Andrew Cannon</cp:lastModifiedBy>
  <cp:revision/>
  <dcterms:created xsi:type="dcterms:W3CDTF">2025-11-10T16:38:59Z</dcterms:created>
  <dcterms:modified xsi:type="dcterms:W3CDTF">2025-12-16T20:42:40Z</dcterms:modified>
  <cp:category/>
  <cp:contentStatus/>
</cp:coreProperties>
</file>